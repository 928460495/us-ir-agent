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ssumptions" sheetId="1" state="visible" r:id="rId1"/>
    <sheet xmlns:r="http://schemas.openxmlformats.org/officeDocument/2006/relationships" name="2_Income" sheetId="2" state="visible" r:id="rId2"/>
    <sheet xmlns:r="http://schemas.openxmlformats.org/officeDocument/2006/relationships" name="3_Balance" sheetId="3" state="visible" r:id="rId3"/>
    <sheet xmlns:r="http://schemas.openxmlformats.org/officeDocument/2006/relationships" name="4_CashFlow" sheetId="4" state="visible" r:id="rId4"/>
    <sheet xmlns:r="http://schemas.openxmlformats.org/officeDocument/2006/relationships" name="5_DCF" sheetId="5" state="visible" r:id="rId5"/>
    <sheet xmlns:r="http://schemas.openxmlformats.org/officeDocument/2006/relationships" name="6_Engine" sheetId="6" state="visible" r:id="rId6"/>
    <sheet xmlns:r="http://schemas.openxmlformats.org/officeDocument/2006/relationships" name="7_Ratios" sheetId="7" state="visible" r:id="rId7"/>
    <sheet xmlns:r="http://schemas.openxmlformats.org/officeDocument/2006/relationships" name="8_Breakev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.0"/>
    <numFmt numFmtId="166" formatCode="0.0"/>
    <numFmt numFmtId="167" formatCode="&quot;$&quot;#,##0.00"/>
    <numFmt numFmtId="168" formatCode="0.000000"/>
    <numFmt numFmtId="169" formatCode="0.000"/>
    <numFmt numFmtId="170" formatCode="0.0000"/>
    <numFmt numFmtId="171" formatCode="0.00000000"/>
  </numFmts>
  <fonts count="21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i val="1"/>
      <color rgb="00C00000"/>
      <sz val="9"/>
    </font>
    <font>
      <b val="1"/>
      <color rgb="00FFFFFF"/>
      <sz val="11"/>
    </font>
    <font>
      <b val="1"/>
      <sz val="10"/>
    </font>
    <font>
      <color rgb="000000CD"/>
      <sz val="10"/>
    </font>
    <font>
      <b val="1"/>
      <color rgb="00C00000"/>
      <sz val="10"/>
    </font>
    <font>
      <color rgb="00008000"/>
      <sz val="10"/>
    </font>
    <font>
      <b val="1"/>
      <color rgb="00FFFFFF"/>
      <sz val="10"/>
    </font>
    <font>
      <sz val="10"/>
    </font>
    <font>
      <color rgb="00808080"/>
      <sz val="9"/>
    </font>
    <font>
      <color rgb="00C00000"/>
      <sz val="9"/>
    </font>
    <font>
      <color rgb="00006400"/>
      <sz val="9"/>
    </font>
    <font>
      <i val="1"/>
      <color rgb="00404040"/>
      <sz val="10"/>
    </font>
    <font>
      <color rgb="00808080"/>
      <sz val="10"/>
    </font>
    <font>
      <color rgb="00C00000"/>
      <sz val="10"/>
    </font>
    <font>
      <i val="1"/>
      <color rgb="00808080"/>
      <sz val="10"/>
    </font>
    <font>
      <i val="1"/>
      <sz val="9"/>
    </font>
    <font>
      <b val="1"/>
      <color rgb="001F3864"/>
      <sz val="13"/>
    </font>
    <font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0" fontId="9" fillId="4" borderId="0" pivotButton="0" quotePrefix="0" xfId="0"/>
    <xf numFmtId="0" fontId="10" fillId="0" borderId="1" pivotButton="0" quotePrefix="0" xfId="0"/>
    <xf numFmtId="164" fontId="17" fillId="6" borderId="0" pivotButton="0" quotePrefix="0" xfId="0"/>
    <xf numFmtId="164" fontId="10" fillId="0" borderId="0" pivotButton="0" quotePrefix="0" xfId="0"/>
    <xf numFmtId="0" fontId="12" fillId="0" borderId="0" pivotButton="0" quotePrefix="0" xfId="0"/>
    <xf numFmtId="164" fontId="6" fillId="5" borderId="0" pivotButton="0" quotePrefix="0" xfId="0"/>
    <xf numFmtId="0" fontId="11" fillId="0" borderId="0" pivotButton="0" quotePrefix="0" xfId="0"/>
    <xf numFmtId="10" fontId="6" fillId="5" borderId="0" pivotButton="0" quotePrefix="0" xfId="0"/>
    <xf numFmtId="10" fontId="10" fillId="0" borderId="0" pivotButton="0" quotePrefix="0" xfId="0"/>
    <xf numFmtId="164" fontId="6" fillId="0" borderId="0" pivotButton="0" quotePrefix="0" xfId="0"/>
    <xf numFmtId="165" fontId="8" fillId="0" borderId="0" pivotButton="0" quotePrefix="0" xfId="0"/>
    <xf numFmtId="165" fontId="5" fillId="0" borderId="0" pivotButton="0" quotePrefix="0" xfId="0"/>
    <xf numFmtId="0" fontId="13" fillId="0" borderId="0" pivotButton="0" quotePrefix="0" xfId="0"/>
    <xf numFmtId="0" fontId="10" fillId="0" borderId="0" pivotButton="0" quotePrefix="0" xfId="0"/>
    <xf numFmtId="165" fontId="14" fillId="0" borderId="0" pivotButton="0" quotePrefix="0" xfId="0"/>
    <xf numFmtId="10" fontId="6" fillId="0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7" fontId="6" fillId="0" borderId="0" pivotButton="0" quotePrefix="0" xfId="0"/>
    <xf numFmtId="168" fontId="10" fillId="3" borderId="0" pivotButton="0" quotePrefix="0" xfId="0"/>
    <xf numFmtId="0" fontId="15" fillId="0" borderId="0" pivotButton="0" quotePrefix="0" xfId="0"/>
    <xf numFmtId="165" fontId="15" fillId="0" borderId="0" pivotButton="0" quotePrefix="0" xfId="0"/>
    <xf numFmtId="169" fontId="6" fillId="0" borderId="0" pivotButton="0" quotePrefix="0" xfId="0"/>
    <xf numFmtId="49" fontId="6" fillId="0" borderId="0" pivotButton="0" quotePrefix="0" xfId="0"/>
    <xf numFmtId="1" fontId="6" fillId="0" borderId="0" pivotButton="0" quotePrefix="0" xfId="0"/>
    <xf numFmtId="10" fontId="8" fillId="0" borderId="0" pivotButton="0" quotePrefix="0" xfId="0"/>
    <xf numFmtId="10" fontId="5" fillId="0" borderId="0" pivotButton="0" quotePrefix="0" xfId="0"/>
    <xf numFmtId="164" fontId="10" fillId="3" borderId="0" pivotButton="0" quotePrefix="0" xfId="0"/>
    <xf numFmtId="165" fontId="10" fillId="0" borderId="0" pivotButton="0" quotePrefix="0" xfId="0"/>
    <xf numFmtId="2" fontId="6" fillId="0" borderId="0" pivotButton="0" quotePrefix="0" xfId="0"/>
    <xf numFmtId="2" fontId="10" fillId="0" borderId="0" pivotButton="0" quotePrefix="0" xfId="0"/>
    <xf numFmtId="0" fontId="16" fillId="0" borderId="0" pivotButton="0" quotePrefix="0" xfId="0"/>
    <xf numFmtId="0" fontId="9" fillId="2" borderId="0" applyAlignment="1" pivotButton="0" quotePrefix="0" xfId="0">
      <alignment horizontal="center"/>
    </xf>
    <xf numFmtId="0" fontId="5" fillId="0" borderId="1" pivotButton="0" quotePrefix="0" xfId="0"/>
    <xf numFmtId="164" fontId="14" fillId="0" borderId="0" pivotButton="0" quotePrefix="0" xfId="0"/>
    <xf numFmtId="167" fontId="14" fillId="0" borderId="0" pivotButton="0" quotePrefix="0" xfId="0"/>
    <xf numFmtId="167" fontId="5" fillId="0" borderId="0" pivotButton="0" quotePrefix="0" xfId="0"/>
    <xf numFmtId="2" fontId="14" fillId="0" borderId="0" pivotButton="0" quotePrefix="0" xfId="0"/>
    <xf numFmtId="168" fontId="14" fillId="0" borderId="0" pivotButton="0" quotePrefix="0" xfId="0"/>
    <xf numFmtId="168" fontId="5" fillId="3" borderId="0" pivotButton="0" quotePrefix="0" xfId="0"/>
    <xf numFmtId="0" fontId="18" fillId="0" borderId="0" pivotButton="0" quotePrefix="0" xfId="0"/>
    <xf numFmtId="169" fontId="8" fillId="0" borderId="0" pivotButton="0" quotePrefix="0" xfId="0"/>
    <xf numFmtId="49" fontId="8" fillId="0" borderId="0" pivotButton="0" quotePrefix="0" xfId="0"/>
    <xf numFmtId="1" fontId="8" fillId="0" borderId="0" pivotButton="0" quotePrefix="0" xfId="0"/>
    <xf numFmtId="1" fontId="10" fillId="0" borderId="0" pivotButton="0" quotePrefix="0" xfId="0"/>
    <xf numFmtId="170" fontId="10" fillId="0" borderId="0" pivotButton="0" quotePrefix="0" xfId="0"/>
    <xf numFmtId="1" fontId="5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0" fontId="9" fillId="4" borderId="0" pivotButton="0" quotePrefix="0" xfId="0"/>
    <xf numFmtId="10" fontId="9" fillId="2" borderId="0" pivotButton="0" quotePrefix="0" xfId="0"/>
    <xf numFmtId="171" fontId="10" fillId="3" borderId="0" pivotButton="0" quotePrefix="0" xfId="0"/>
    <xf numFmtId="0" fontId="19" fillId="0" borderId="0" pivotButton="0" quotePrefix="0" xfId="0"/>
    <xf numFmtId="170" fontId="8" fillId="0" borderId="0" pivotButton="0" quotePrefix="0" xfId="0"/>
    <xf numFmtId="164" fontId="5" fillId="3" borderId="0" pivotButton="0" quotePrefix="0" xfId="0"/>
    <xf numFmtId="166" fontId="14" fillId="0" borderId="0" pivotButton="0" quotePrefix="0" xfId="0"/>
    <xf numFmtId="166" fontId="10" fillId="0" borderId="0" pivotButton="0" quotePrefix="0" xfId="0"/>
    <xf numFmtId="166" fontId="5" fillId="0" borderId="0" pivotButton="0" quotePrefix="0" xfId="0"/>
    <xf numFmtId="171" fontId="5" fillId="3" borderId="0" pivotButton="0" quotePrefix="0" xfId="0"/>
    <xf numFmtId="167" fontId="0" fillId="0" borderId="0" pivotButton="0" quotePrefix="0" xfId="0"/>
    <xf numFmtId="167" fontId="8" fillId="0" borderId="0" pivotButton="0" quotePrefix="0" xfId="0"/>
    <xf numFmtId="0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166" fontId="0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 algn="l">
              <a:defRPr sz="1100" b="1">
                <a:solidFill>
                  <a:srgbClr val="9E2B25"/>
                </a:solidFill>
              </a:defRPr>
            </a:pPr>
            <a:r>
              <a:rPr sz="1100" b="1">
                <a:solidFill>
                  <a:srgbClr val="9E2B25"/>
                </a:solidFill>
              </a:rPr>
              <a:t>营业收入与归母净利润（百万美元）</a:t>
            </a:r>
            <a:endParaRPr sz="1100" b="1">
              <a:solidFill>
                <a:srgbClr val="9E2B25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01"/>
          <y val="0.0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6"/>
          <y val="0.14"/>
          <w val="0.9"/>
          <h val="0.68"/>
        </manualLayout>
      </layout>
      <barChart>
        <barDir val="col"/>
        <grouping val="clustered"/>
        <ser>
          <idx val="0"/>
          <order val="0"/>
          <tx>
            <v>Revenue 营业收入</v>
          </tx>
          <spPr>
            <a:solidFill xmlns:a="http://schemas.openxmlformats.org/drawingml/2006/main">
              <a:srgbClr val="9E2B25"/>
            </a:solidFill>
            <a:ln xmlns:a="http://schemas.openxmlformats.org/drawingml/2006/main">
              <a:noFill/>
              <a:prstDash val="solid"/>
            </a:ln>
          </spPr>
          <cat>
            <numRef>
              <f>'7_Ratios'!$B$5:$K$5</f>
            </numRef>
          </cat>
          <val>
            <numRef>
              <f>'2_Income'!$B$6:$K$6</f>
            </numRef>
          </val>
        </ser>
        <dLbls>
          <numFmt formatCode="#,##0"/>
          <txPr>
            <a:bodyPr xmlns:a="http://schemas.openxmlformats.org/drawingml/2006/main"/>
            <a:p xmlns:a="http://schemas.openxmlformats.org/drawingml/2006/main">
              <a:pPr>
                <a:defRPr sz="800">
                  <a:solidFill>
                    <a:srgbClr val="595959"/>
                  </a:solidFill>
                </a:defRPr>
              </a:pPr>
              <a:r>
                <a:t>None</a:t>
              </a:r>
              <a:endParaRPr sz="800">
                <a:solidFill>
                  <a:srgbClr val="595959"/>
                </a:solidFill>
              </a:endParaRPr>
            </a:p>
          </txPr>
          <showLegendKey val="0"/>
          <showVal val="1"/>
          <showCatName val="0"/>
          <showSerName val="0"/>
          <showBubbleSize val="0"/>
        </dLbls>
        <gapWidth val="60"/>
        <axId val="10"/>
        <axId val="100"/>
      </barChart>
      <lineChart>
        <grouping val="standard"/>
        <ser>
          <idx val="1"/>
          <order val="1"/>
          <tx>
            <v>Net income 归母净利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val>
            <numRef>
              <f>'2_Income'!$B$22:$K$22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"/>
      </valAx>
      <valAx>
        <axId val="200"/>
        <scaling>
          <orientation val="minMax"/>
        </scaling>
        <axPos val="l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"/>
        <crosses val="max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595959"/>
              </a:solidFill>
            </a:defRPr>
          </a:pPr>
          <a:r>
            <a:t>None</a:t>
          </a:r>
          <a:endParaRPr sz="900">
            <a:solidFill>
              <a:srgbClr val="595959"/>
            </a:solidFill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 algn="l">
              <a:defRPr sz="1100" b="1">
                <a:solidFill>
                  <a:srgbClr val="9E2B25"/>
                </a:solidFill>
              </a:defRPr>
            </a:pPr>
            <a:r>
              <a:rPr sz="1100" b="1">
                <a:solidFill>
                  <a:srgbClr val="9E2B25"/>
                </a:solidFill>
              </a:rPr>
              <a:t>盈利能力趋势（含股份支付占比）</a:t>
            </a:r>
            <a:endParaRPr sz="1100" b="1">
              <a:solidFill>
                <a:srgbClr val="9E2B25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01"/>
          <y val="0.0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6"/>
          <y val="0.14"/>
          <w val="0.9"/>
          <h val="0.68"/>
        </manualLayout>
      </layout>
      <lineChart>
        <grouping val="standard"/>
        <ser>
          <idx val="0"/>
          <order val="0"/>
          <tx>
            <v>毛利率</v>
          </tx>
          <spPr>
            <a:ln xmlns:a="http://schemas.openxmlformats.org/drawingml/2006/main" w="22000">
              <a:solidFill>
                <a:srgbClr val="9E2B2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9E2B25"/>
              </a:solidFill>
              <a:ln xmlns:a="http://schemas.openxmlformats.org/drawingml/2006/main">
                <a:solidFill>
                  <a:srgbClr val="9E2B25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'7_Ratios'!$B$6:$K$6</f>
            </numRef>
          </val>
          <smooth val="0"/>
        </ser>
        <ser>
          <idx val="1"/>
          <order val="1"/>
          <tx>
            <v>经营利润率</v>
          </tx>
          <spPr>
            <a:ln xmlns:a="http://schemas.openxmlformats.org/drawingml/2006/main" w="22000">
              <a:solidFill>
                <a:srgbClr val="C4A85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4A85A"/>
              </a:solidFill>
              <a:ln xmlns:a="http://schemas.openxmlformats.org/drawingml/2006/main">
                <a:solidFill>
                  <a:srgbClr val="C4A85A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'7_Ratios'!$B$7:$K$7</f>
            </numRef>
          </val>
          <smooth val="0"/>
        </ser>
        <ser>
          <idx val="2"/>
          <order val="2"/>
          <tx>
            <v>归母净利率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'7_Ratios'!$B$8:$K$8</f>
            </numRef>
          </val>
          <smooth val="0"/>
        </ser>
        <ser>
          <idx val="3"/>
          <order val="3"/>
          <tx>
            <v>SBC/营收</v>
          </tx>
          <spPr>
            <a:ln xmlns:a="http://schemas.openxmlformats.org/drawingml/2006/main" w="22000">
              <a:solidFill>
                <a:srgbClr val="8497B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8497B0"/>
              </a:solidFill>
              <a:ln xmlns:a="http://schemas.openxmlformats.org/drawingml/2006/main">
                <a:solidFill>
                  <a:srgbClr val="8497B0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'7_Ratios'!$B$9:$K$9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595959"/>
              </a:solidFill>
            </a:defRPr>
          </a:pPr>
          <a:r>
            <a:t>None</a:t>
          </a:r>
          <a:endParaRPr sz="900">
            <a:solidFill>
              <a:srgbClr val="595959"/>
            </a:solidFill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 algn="l">
              <a:defRPr sz="1100" b="1">
                <a:solidFill>
                  <a:srgbClr val="9E2B25"/>
                </a:solidFill>
              </a:defRPr>
            </a:pPr>
            <a:r>
              <a:rPr sz="1100" b="1">
                <a:solidFill>
                  <a:srgbClr val="9E2B25"/>
                </a:solidFill>
              </a:rPr>
              <a:t>价值创造：ROIC 高于 WACC 才创造价值</a:t>
            </a:r>
            <a:endParaRPr sz="1100" b="1">
              <a:solidFill>
                <a:srgbClr val="9E2B25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01"/>
          <y val="0.0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6"/>
          <y val="0.14"/>
          <w val="0.9"/>
          <h val="0.68"/>
        </manualLayout>
      </layout>
      <lineChart>
        <grouping val="standard"/>
        <ser>
          <idx val="0"/>
          <order val="0"/>
          <tx>
            <v>ROE（归母）</v>
          </tx>
          <spPr>
            <a:ln xmlns:a="http://schemas.openxmlformats.org/drawingml/2006/main" w="22000">
              <a:solidFill>
                <a:srgbClr val="9E2B2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9E2B25"/>
              </a:solidFill>
              <a:ln xmlns:a="http://schemas.openxmlformats.org/drawingml/2006/main">
                <a:solidFill>
                  <a:srgbClr val="9E2B25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'7_Ratios'!$B$10:$K$10</f>
            </numRef>
          </val>
          <smooth val="0"/>
        </ser>
        <ser>
          <idx val="1"/>
          <order val="1"/>
          <tx>
            <v>ROIC（税后）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'7_Ratios'!$B$12:$K$12</f>
            </numRef>
          </val>
          <smooth val="0"/>
        </ser>
        <ser>
          <idx val="2"/>
          <order val="2"/>
          <tx>
            <v>WACC（基准线）</v>
          </tx>
          <spPr>
            <a:ln xmlns:a="http://schemas.openxmlformats.org/drawingml/2006/main" w="22000">
              <a:solidFill>
                <a:srgbClr val="A6A6A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'7_Ratios'!$B$13:$K$13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595959"/>
              </a:solidFill>
            </a:defRPr>
          </a:pPr>
          <a:r>
            <a:t>None</a:t>
          </a:r>
          <a:endParaRPr sz="900">
            <a:solidFill>
              <a:srgbClr val="595959"/>
            </a:solidFill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 algn="l">
              <a:defRPr sz="1100" b="1">
                <a:solidFill>
                  <a:srgbClr val="9E2B25"/>
                </a:solidFill>
              </a:defRPr>
            </a:pPr>
            <a:r>
              <a:rPr sz="1100" b="1">
                <a:solidFill>
                  <a:srgbClr val="9E2B25"/>
                </a:solidFill>
              </a:rPr>
              <a:t>杜邦：总资产周转率与权益乘数</a:t>
            </a:r>
            <a:endParaRPr sz="1100" b="1">
              <a:solidFill>
                <a:srgbClr val="9E2B25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01"/>
          <y val="0.0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6"/>
          <y val="0.14"/>
          <w val="0.9"/>
          <h val="0.68"/>
        </manualLayout>
      </layout>
      <lineChart>
        <grouping val="standard"/>
        <ser>
          <idx val="0"/>
          <order val="0"/>
          <tx>
            <v>总资产周转率</v>
          </tx>
          <spPr>
            <a:ln xmlns:a="http://schemas.openxmlformats.org/drawingml/2006/main" w="22000">
              <a:solidFill>
                <a:srgbClr val="C4A85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4A85A"/>
              </a:solidFill>
              <a:ln xmlns:a="http://schemas.openxmlformats.org/drawingml/2006/main">
                <a:solidFill>
                  <a:srgbClr val="C4A85A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'7_Ratios'!$B$50:$K$50</f>
            </numRef>
          </val>
          <smooth val="0"/>
        </ser>
        <ser>
          <idx val="1"/>
          <order val="1"/>
          <tx>
            <v>权益乘数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'7_Ratios'!$B$51:$K$51</f>
            </numRef>
          </val>
          <smooth val="0"/>
        </ser>
        <dLbls>
          <numFmt formatCode="0.00"/>
          <txPr>
            <a:bodyPr xmlns:a="http://schemas.openxmlformats.org/drawingml/2006/main"/>
            <a:p xmlns:a="http://schemas.openxmlformats.org/drawingml/2006/main">
              <a:pPr>
                <a:defRPr sz="800">
                  <a:solidFill>
                    <a:srgbClr val="595959"/>
                  </a:solidFill>
                </a:defRPr>
              </a:pPr>
              <a:r>
                <a:t>None</a:t>
              </a:r>
              <a:endParaRPr sz="800">
                <a:solidFill>
                  <a:srgbClr val="595959"/>
                </a:solidFill>
              </a:endParaRPr>
            </a:p>
          </txPr>
          <showLegendKey val="0"/>
          <showVal val="1"/>
          <showCatName val="0"/>
          <showSerName val="0"/>
          <showBubbleSiz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.00" sourceLinked="0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595959"/>
              </a:solidFill>
            </a:defRPr>
          </a:pPr>
          <a:r>
            <a:t>None</a:t>
          </a:r>
          <a:endParaRPr sz="900">
            <a:solidFill>
              <a:srgbClr val="595959"/>
            </a:solidFill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 algn="l">
              <a:defRPr sz="1100" b="1">
                <a:solidFill>
                  <a:srgbClr val="9E2B25"/>
                </a:solidFill>
              </a:defRPr>
            </a:pPr>
            <a:r>
              <a:rPr sz="1100" b="1">
                <a:solidFill>
                  <a:srgbClr val="9E2B25"/>
                </a:solidFill>
              </a:rPr>
              <a:t>现金转换周期：为负说明供应商在垫资</a:t>
            </a:r>
            <a:endParaRPr sz="1100" b="1">
              <a:solidFill>
                <a:srgbClr val="9E2B25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01"/>
          <y val="0.0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6"/>
          <y val="0.14"/>
          <w val="0.9"/>
          <h val="0.68"/>
        </manualLayout>
      </layout>
      <lineChart>
        <grouping val="standard"/>
        <ser>
          <idx val="0"/>
          <order val="0"/>
          <tx>
            <v>现金转换周期 CCC（天）</v>
          </tx>
          <spPr>
            <a:ln xmlns:a="http://schemas.openxmlformats.org/drawingml/2006/main" w="22000">
              <a:solidFill>
                <a:srgbClr val="C0504D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solidFill>
                  <a:srgbClr val="C0504D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'7_Ratios'!$B$21:$K$21</f>
            </numRef>
          </val>
          <smooth val="0"/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800">
                  <a:solidFill>
                    <a:srgbClr val="595959"/>
                  </a:solidFill>
                </a:defRPr>
              </a:pPr>
              <a:r>
                <a:t>None</a:t>
              </a:r>
              <a:endParaRPr sz="800">
                <a:solidFill>
                  <a:srgbClr val="595959"/>
                </a:solidFill>
              </a:endParaRPr>
            </a:p>
          </txPr>
          <showLegendKey val="0"/>
          <showVal val="1"/>
          <showCatName val="0"/>
          <showSerName val="0"/>
          <showBubbleSiz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595959"/>
              </a:solidFill>
            </a:defRPr>
          </a:pPr>
          <a:r>
            <a:t>None</a:t>
          </a:r>
          <a:endParaRPr sz="900">
            <a:solidFill>
              <a:srgbClr val="595959"/>
            </a:solidFill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 algn="l">
              <a:defRPr sz="1100" b="1">
                <a:solidFill>
                  <a:srgbClr val="9E2B25"/>
                </a:solidFill>
              </a:defRPr>
            </a:pPr>
            <a:r>
              <a:rPr sz="1100" b="1">
                <a:solidFill>
                  <a:srgbClr val="9E2B25"/>
                </a:solidFill>
              </a:rPr>
              <a:t>资本返还与股份支付（占营收）</a:t>
            </a:r>
            <a:endParaRPr sz="1100" b="1">
              <a:solidFill>
                <a:srgbClr val="9E2B25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01"/>
          <y val="0.0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6"/>
          <y val="0.14"/>
          <w val="0.9"/>
          <h val="0.68"/>
        </manualLayout>
      </layout>
      <lineChart>
        <grouping val="standard"/>
        <ser>
          <idx val="0"/>
          <order val="0"/>
          <tx>
            <v>回购 / 营收</v>
          </tx>
          <spPr>
            <a:ln xmlns:a="http://schemas.openxmlformats.org/drawingml/2006/main" w="22000">
              <a:solidFill>
                <a:srgbClr val="9E2B2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9E2B25"/>
              </a:solidFill>
              <a:ln xmlns:a="http://schemas.openxmlformats.org/drawingml/2006/main">
                <a:solidFill>
                  <a:srgbClr val="9E2B25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'7_Ratios'!$B$39:$K$39</f>
            </numRef>
          </val>
          <smooth val="0"/>
        </ser>
        <ser>
          <idx val="1"/>
          <order val="1"/>
          <tx>
            <v>SBC / 营收</v>
          </tx>
          <spPr>
            <a:ln xmlns:a="http://schemas.openxmlformats.org/drawingml/2006/main" w="22000">
              <a:solidFill>
                <a:srgbClr val="8497B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8497B0"/>
              </a:solidFill>
              <a:ln xmlns:a="http://schemas.openxmlformats.org/drawingml/2006/main">
                <a:solidFill>
                  <a:srgbClr val="8497B0"/>
                </a:solidFill>
                <a:prstDash val="solid"/>
              </a:ln>
            </spPr>
          </marker>
          <cat>
            <numRef>
              <f>'7_Ratios'!$B$5:$K$5</f>
            </numRef>
          </cat>
          <val>
            <numRef>
              <f>'7_Ratios'!$B$9:$K$9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6350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95959"/>
                </a:solidFill>
              </a:defRPr>
            </a:pPr>
            <a:r>
              <a:t>None</a:t>
            </a:r>
            <a:endParaRPr sz="900">
              <a:solidFill>
                <a:srgbClr val="595959"/>
              </a:solidFill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595959"/>
              </a:solidFill>
            </a:defRPr>
          </a:pPr>
          <a:r>
            <a:t>None</a:t>
          </a:r>
          <a:endParaRPr sz="900">
            <a:solidFill>
              <a:srgbClr val="595959"/>
            </a:solidFill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Template</author>
  </authors>
  <commentList>
    <comment ref="A13" authorId="0" shapeId="0">
      <text>
        <t>残差项：令重建的经营利润精确等于报表 Operating Income</t>
      </text>
    </comment>
    <comment ref="A14" authorId="0" shapeId="0">
      <text>
        <t>US GAAP 的 Operating Income 本来就在利息之前，直接就是 EBIT，不必像 CAS 那样用「营业利润 + 财务费用」倒推</t>
      </text>
    </comment>
    <comment ref="A15" authorId="0" shapeId="0">
      <text>
        <t>期初有息负债 × 利率（用期初值，避免循环引用）</t>
      </text>
    </comment>
    <comment ref="A17" authorId="0" shapeId="0">
      <text>
        <t>预测期按 0 —— 非经常项目不外推</t>
      </text>
    </comment>
    <comment ref="A23" authorId="0" shapeId="0">
      <text>
        <t>逐年滚动：期初 − 回购股数 + SBC股数(仅在加回口径下) + 增发股数</t>
      </text>
    </comment>
    <comment ref="A26" authorId="0" shapeId="0">
      <text>
        <t>已含在上方 R&amp;D / SG&amp;A 内。默认口径不加回（Damodaran），故股数也不因 SBC 摊薄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6" authorId="0" shapeId="0">
      <text>
        <t>模型 plug = 现金流量表期末现金</t>
      </text>
    </comment>
    <comment ref="A12" authorId="0" shapeId="0">
      <text>
        <t>期初 + 资本开支 − 折旧（现金流量表的资本开支为负数，故此处相减）</t>
      </text>
    </comment>
    <comment ref="A14" authorId="0" shapeId="0">
      <text>
        <t>期初 − 无形摊销</t>
      </text>
    </comment>
    <comment ref="A18" authorId="0" shapeId="0">
      <text>
        <t>期初 + 循环贷净变动</t>
      </text>
    </comment>
    <comment ref="A25" authorId="0" shapeId="0">
      <text>
        <t>期初 + 归母净利 + 分红(负) + 回购(负) + 增发 + SBC计入资本公积</t>
      </text>
    </comment>
    <comment ref="A29" authorId="0" shapeId="0">
      <text>
        <t>必须为 0</t>
      </text>
    </comment>
    <comment ref="A30" authorId="0" shapeId="0">
      <text>
        <t>有息负债 − 现金 − 短期投资。经营租赁负债【不】计入（ASC 842 下租金已在 EBIT 内扣除）</t>
      </text>
    </comment>
    <comment ref="A32" authorId="0" shapeId="0">
      <text>
        <t>上期研发资本 ÷ 摊销年限（直线法近似逐年归集口径）</t>
      </text>
    </comment>
    <comment ref="A33" authorId="0" shapeId="0">
      <text>
        <t>期初 + 本期研发费用 − 本期摊销（基期值由「1_假设」的期初研发资本给定）</t>
      </text>
    </comment>
    <comment ref="A34" authorId="0" shapeId="0">
      <text>
        <t>营运资本 + 固定资产 + 商誉无形 + 其他非流动资产 − 其他非流动负债。等价于融资端「有息债务 + 全部权益 − 现金 − 短投 − 长投」——两侧恒等（同一恒等式的重排），是口径自洽性展示，不构成独立检错</t>
      </text>
    </comment>
    <comment ref="A36" authorId="0" shapeId="0">
      <text>
        <t>供 DCF 终值使用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7" authorId="0" shapeId="0">
      <text>
        <t>期初固定资产净额 × 折旧率（分子分母口径一致）</t>
      </text>
    </comment>
    <comment ref="A9" authorId="0" shapeId="0">
      <text>
        <t>非现金费用，会计上必然加回 OCF；是否在 FCFF 中加回是另一回事（见 5_DCF）</t>
      </text>
    </comment>
    <comment ref="A16" authorId="0" shapeId="0">
      <text>
        <t>经营性资本开支 + 募投资本开支（自到账年份起 3 年平摊）</t>
      </text>
    </comment>
    <comment ref="A19" authorId="0" shapeId="0">
      <text>
        <t>EBIT×(1−t) + 折旧 + 摊销 [+ SBC 仅在加回口径下] − 资本开支 + 营运资本变动</t>
      </text>
    </comment>
    <comment ref="A23" authorId="0" shapeId="0">
      <text>
        <t>现金低于最低余额则借入；高于阈值且有短贷则归还</t>
      </text>
    </comment>
    <comment ref="A26" authorId="0" shapeId="0">
      <text>
        <t>含回购与增发，循环贷在此之后判断是否触发</t>
      </text>
    </comment>
    <comment ref="A29" authorId="0" shapeId="0">
      <text>
        <t>Damodaran：既然现金流已罚过 SBC，就不该再摊薄股数。两者绑在同一开关上</t>
      </text>
    </comment>
    <comment ref="A30" authorId="0" shapeId="0">
      <text>
        <t>历史列 = 报表的加权平均摊薄股数（仅供参照）；预测起点 = 假设页的当前在外股数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9" authorId="0" shapeId="0">
      <text>
        <t>美股特有。按 Damodaran 口径它是真实成本，已含在 R&amp;D/SG&amp;A 内，不加回</t>
      </text>
    </comment>
    <comment ref="A10" authorId="0" shapeId="0">
      <text>
        <t>回购大户的账面权益被冲小，ROE 会失真（AAPL 达 171%）——这类公司应以 ROIC 为锚</t>
      </text>
    </comment>
    <comment ref="A12" authorId="0" shapeId="0">
      <text>
        <t>投入资本用「生效 IC」（含研发资本，若开关打开）</t>
      </text>
    </comment>
    <comment ref="A13" authorId="0" shapeId="0">
      <text>
        <t>ROIC 高于 WACC 才创造价值</t>
      </text>
    </comment>
    <comment ref="A21" authorId="0" shapeId="0">
      <text>
        <t>为负说明供应商在为公司垫资 —— 美股龙头普遍为负</t>
      </text>
    </comment>
    <comment ref="A37" authorId="0" shapeId="0">
      <text>
        <t>长期低于 1 说明在吃老本；远高于 1 说明在扩张期</t>
      </text>
    </comment>
    <comment ref="A39" authorId="0" shapeId="0">
      <text>
        <t>美股常态：AAPL 近五年稳定在营收的 20%+</t>
      </text>
    </comment>
    <comment ref="A53" authorId="0" shapeId="0">
      <text>
        <t>连乘必须等于直接算出的 ROE。这是本页唯一的硬断言 ——不为 0 说明比率之间的口径打架了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67</row>
      <rowOff>0</rowOff>
    </from>
    <ext cx="63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67</row>
      <rowOff>0</rowOff>
    </from>
    <ext cx="63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84</row>
      <rowOff>0</rowOff>
    </from>
    <ext cx="63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84</row>
      <rowOff>0</rowOff>
    </from>
    <ext cx="63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101</row>
      <rowOff>0</rowOff>
    </from>
    <ext cx="63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101</row>
      <rowOff>0</rowOff>
    </from>
    <ext cx="630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92" customWidth="1" min="6" max="6"/>
  </cols>
  <sheetData>
    <row r="1">
      <c r="A1" s="1" t="inlineStr">
        <is>
          <t>Apple Inc. (AAPL) — DCF 假设页（百万美元，US GAAP）</t>
        </is>
      </c>
    </row>
    <row r="2">
      <c r="A2" s="2" t="inlineStr">
        <is>
          <t>SIC 3571 Electronic Computers　｜　财年末 0926　｜　现价 $326.57　｜　评估日 2026-09-11</t>
        </is>
      </c>
    </row>
    <row r="3">
      <c r="A3" s="3" t="inlineStr">
        <is>
          <t>蓝色=可编辑输入　黑色=公式　绿色=跨表链接　黄底=判断项（模板不外推，请自行拉开）</t>
        </is>
      </c>
    </row>
    <row r="5">
      <c r="A5" s="4" t="inlineStr">
        <is>
          <t>一、情景开关</t>
        </is>
      </c>
      <c r="B5" s="5" t="n"/>
      <c r="C5" s="5" t="n"/>
      <c r="D5" s="5" t="n"/>
      <c r="E5" s="5" t="n"/>
      <c r="F5" s="5" t="n"/>
    </row>
    <row r="6">
      <c r="A6" s="6" t="inlineStr">
        <is>
          <t>选择情景  1=Bull / 2=Base / 3=Bear</t>
        </is>
      </c>
      <c r="B6" s="7" t="n">
        <v>2</v>
      </c>
      <c r="F6" s="8" t="inlineStr">
        <is>
          <t>◀ 改这一格切换全模型情景</t>
        </is>
      </c>
    </row>
    <row r="7">
      <c r="A7" s="6" t="inlineStr">
        <is>
          <t>当前情景</t>
        </is>
      </c>
      <c r="B7" s="9">
        <f>CHOOSE(B6,"Bull","Base","Bear")</f>
        <v/>
      </c>
    </row>
    <row r="9">
      <c r="A9" s="4" t="inlineStr">
        <is>
          <t>二、判断项 —— 模板不做外推，三档初始同值，请自行拉开</t>
        </is>
      </c>
      <c r="B9" s="5" t="n"/>
      <c r="C9" s="5" t="n"/>
      <c r="D9" s="5" t="n"/>
      <c r="E9" s="5" t="n"/>
      <c r="F9" s="5" t="n"/>
    </row>
    <row r="10">
      <c r="A10" s="10" t="inlineStr">
        <is>
          <t>假设项</t>
        </is>
      </c>
      <c r="B10" s="10" t="inlineStr">
        <is>
          <t>Bull</t>
        </is>
      </c>
      <c r="C10" s="10" t="inlineStr">
        <is>
          <t>Base</t>
        </is>
      </c>
      <c r="D10" s="10" t="inlineStr">
        <is>
          <t>Bear</t>
        </is>
      </c>
      <c r="E10" s="10" t="inlineStr">
        <is>
          <t>生效值</t>
        </is>
      </c>
      <c r="F10" s="11" t="inlineStr">
        <is>
          <t>历史参考</t>
        </is>
      </c>
    </row>
    <row r="11">
      <c r="A11" s="12" t="inlineStr">
        <is>
          <t>FY2026E 营收增速</t>
        </is>
      </c>
      <c r="B11" s="13" t="n">
        <v>0.0643</v>
      </c>
      <c r="C11" s="13" t="n">
        <v>0.0643</v>
      </c>
      <c r="D11" s="13" t="n">
        <v>0.0643</v>
      </c>
      <c r="E11" s="14">
        <f>IF($B$39=1,B44/$B$87-1,CHOOSE($B$6,B11,C11,D11)+$B$35)</f>
        <v/>
      </c>
      <c r="F11" s="15" t="inlineStr">
        <is>
          <t>⚠ 锚定开启时本行输入不生效 —— 生效值由已披露季度反推（见上方第三节）</t>
        </is>
      </c>
    </row>
    <row r="12">
      <c r="A12" s="12" t="inlineStr">
        <is>
          <t>FY2027E 营收增速</t>
        </is>
      </c>
      <c r="B12" s="16" t="n">
        <v>0.0544</v>
      </c>
      <c r="C12" s="16" t="n">
        <v>0.0544</v>
      </c>
      <c r="D12" s="16" t="n">
        <v>0.0544</v>
      </c>
      <c r="E12" s="14">
        <f>CHOOSE($B$6,B12,C12,D12)</f>
        <v/>
      </c>
    </row>
    <row r="13">
      <c r="A13" s="12" t="inlineStr">
        <is>
          <t>FY2028E 营收增速</t>
        </is>
      </c>
      <c r="B13" s="16" t="n">
        <v>0.0446</v>
      </c>
      <c r="C13" s="16" t="n">
        <v>0.0446</v>
      </c>
      <c r="D13" s="16" t="n">
        <v>0.0446</v>
      </c>
      <c r="E13" s="14">
        <f>CHOOSE($B$6,B13,C13,D13)</f>
        <v/>
      </c>
    </row>
    <row r="14">
      <c r="A14" s="12" t="inlineStr">
        <is>
          <t>FY2029E 营收增速</t>
        </is>
      </c>
      <c r="B14" s="16" t="n">
        <v>0.0348</v>
      </c>
      <c r="C14" s="16" t="n">
        <v>0.0348</v>
      </c>
      <c r="D14" s="16" t="n">
        <v>0.0348</v>
      </c>
      <c r="E14" s="14">
        <f>CHOOSE($B$6,B14,C14,D14)</f>
        <v/>
      </c>
    </row>
    <row r="15">
      <c r="A15" s="12" t="inlineStr">
        <is>
          <t>FY2030E 营收增速</t>
        </is>
      </c>
      <c r="B15" s="16" t="n">
        <v>0.025</v>
      </c>
      <c r="C15" s="16" t="n">
        <v>0.025</v>
      </c>
      <c r="D15" s="16" t="n">
        <v>0.025</v>
      </c>
      <c r="E15" s="14">
        <f>CHOOSE($B$6,B15,C15,D15)</f>
        <v/>
      </c>
    </row>
    <row r="17">
      <c r="A17" s="12" t="inlineStr">
        <is>
          <t>FY2026E 毛利率</t>
        </is>
      </c>
      <c r="B17" s="13" t="n">
        <v>0.4575</v>
      </c>
      <c r="C17" s="13" t="n">
        <v>0.4575</v>
      </c>
      <c r="D17" s="13" t="n">
        <v>0.4575</v>
      </c>
      <c r="E17" s="14">
        <f>IF($B$39=1,1-B46/B44,CHOOSE($B$6,B17,C17,D17)+$B$36)</f>
        <v/>
      </c>
      <c r="F17" s="15" t="inlineStr">
        <is>
          <t>⚠ 锚定开启时本行输入不生效 —— 生效值由已披露季度反推（见上方第三节）</t>
        </is>
      </c>
    </row>
    <row r="18">
      <c r="A18" s="12" t="inlineStr">
        <is>
          <t>FY2027E 毛利率</t>
        </is>
      </c>
      <c r="B18" s="16" t="n">
        <v>0.4575</v>
      </c>
      <c r="C18" s="16" t="n">
        <v>0.4575</v>
      </c>
      <c r="D18" s="16" t="n">
        <v>0.4575</v>
      </c>
      <c r="E18" s="14">
        <f>CHOOSE($B$6,B18,C18,D18)</f>
        <v/>
      </c>
    </row>
    <row r="19">
      <c r="A19" s="12" t="inlineStr">
        <is>
          <t>FY2028E 毛利率</t>
        </is>
      </c>
      <c r="B19" s="16" t="n">
        <v>0.4575</v>
      </c>
      <c r="C19" s="16" t="n">
        <v>0.4575</v>
      </c>
      <c r="D19" s="16" t="n">
        <v>0.4575</v>
      </c>
      <c r="E19" s="14">
        <f>CHOOSE($B$6,B19,C19,D19)</f>
        <v/>
      </c>
    </row>
    <row r="20">
      <c r="A20" s="12" t="inlineStr">
        <is>
          <t>FY2029E 毛利率</t>
        </is>
      </c>
      <c r="B20" s="16" t="n">
        <v>0.4575</v>
      </c>
      <c r="C20" s="16" t="n">
        <v>0.4575</v>
      </c>
      <c r="D20" s="16" t="n">
        <v>0.4575</v>
      </c>
      <c r="E20" s="14">
        <f>CHOOSE($B$6,B20,C20,D20)</f>
        <v/>
      </c>
    </row>
    <row r="21">
      <c r="A21" s="12" t="inlineStr">
        <is>
          <t>FY2030E 毛利率</t>
        </is>
      </c>
      <c r="B21" s="16" t="n">
        <v>0.4575</v>
      </c>
      <c r="C21" s="16" t="n">
        <v>0.4575</v>
      </c>
      <c r="D21" s="16" t="n">
        <v>0.4575</v>
      </c>
      <c r="E21" s="14">
        <f>CHOOSE($B$6,B21,C21,D21)</f>
        <v/>
      </c>
    </row>
    <row r="23">
      <c r="A23" s="12" t="inlineStr">
        <is>
          <t>FY2026E 资本开支 / 营收</t>
        </is>
      </c>
      <c r="B23" s="16" t="n">
        <v>0.0278</v>
      </c>
      <c r="C23" s="16" t="n">
        <v>0.0278</v>
      </c>
      <c r="D23" s="16" t="n">
        <v>0.0278</v>
      </c>
      <c r="E23" s="14">
        <f>CHOOSE($B$6,B23,C23,D23)</f>
        <v/>
      </c>
      <c r="F23" s="17" t="inlineStr">
        <is>
          <t>近3年均值 2.8%</t>
        </is>
      </c>
    </row>
    <row r="24">
      <c r="A24" s="12" t="inlineStr">
        <is>
          <t>FY2027E 资本开支 / 营收</t>
        </is>
      </c>
      <c r="B24" s="16" t="n">
        <v>0.0278</v>
      </c>
      <c r="C24" s="16" t="n">
        <v>0.0278</v>
      </c>
      <c r="D24" s="16" t="n">
        <v>0.0278</v>
      </c>
      <c r="E24" s="14">
        <f>CHOOSE($B$6,B24,C24,D24)</f>
        <v/>
      </c>
    </row>
    <row r="25">
      <c r="A25" s="12" t="inlineStr">
        <is>
          <t>FY2028E 资本开支 / 营收</t>
        </is>
      </c>
      <c r="B25" s="16" t="n">
        <v>0.0278</v>
      </c>
      <c r="C25" s="16" t="n">
        <v>0.0278</v>
      </c>
      <c r="D25" s="16" t="n">
        <v>0.0278</v>
      </c>
      <c r="E25" s="14">
        <f>CHOOSE($B$6,B25,C25,D25)</f>
        <v/>
      </c>
    </row>
    <row r="26">
      <c r="A26" s="12" t="inlineStr">
        <is>
          <t>FY2029E 资本开支 / 营收</t>
        </is>
      </c>
      <c r="B26" s="16" t="n">
        <v>0.0278</v>
      </c>
      <c r="C26" s="16" t="n">
        <v>0.0278</v>
      </c>
      <c r="D26" s="16" t="n">
        <v>0.0278</v>
      </c>
      <c r="E26" s="14">
        <f>CHOOSE($B$6,B26,C26,D26)</f>
        <v/>
      </c>
    </row>
    <row r="27">
      <c r="A27" s="12" t="inlineStr">
        <is>
          <t>FY2030E 资本开支 / 营收</t>
        </is>
      </c>
      <c r="B27" s="16" t="n">
        <v>0.0278</v>
      </c>
      <c r="C27" s="16" t="n">
        <v>0.0278</v>
      </c>
      <c r="D27" s="16" t="n">
        <v>0.0278</v>
      </c>
      <c r="E27" s="14">
        <f>CHOOSE($B$6,B27,C27,D27)</f>
        <v/>
      </c>
    </row>
    <row r="29">
      <c r="A29" s="12" t="inlineStr">
        <is>
          <t>FY2026E SBC / 营收</t>
        </is>
      </c>
      <c r="B29" s="18" t="n">
        <v>0.02969</v>
      </c>
      <c r="C29" s="18" t="n">
        <v>0.02969</v>
      </c>
      <c r="D29" s="18" t="n">
        <v>0.02969</v>
      </c>
      <c r="E29" s="19">
        <f>CHOOSE($B$6,B29,C29,D29)</f>
        <v/>
      </c>
      <c r="F29" s="17" t="inlineStr">
        <is>
          <t>近3年均值 2.97%｜美股特有的大额非现金费用</t>
        </is>
      </c>
    </row>
    <row r="30">
      <c r="A30" s="12" t="inlineStr">
        <is>
          <t>FY2027E SBC / 营收</t>
        </is>
      </c>
      <c r="B30" s="18" t="n">
        <v>0.02969</v>
      </c>
      <c r="C30" s="18" t="n">
        <v>0.02969</v>
      </c>
      <c r="D30" s="18" t="n">
        <v>0.02969</v>
      </c>
      <c r="E30" s="19">
        <f>CHOOSE($B$6,B30,C30,D30)</f>
        <v/>
      </c>
    </row>
    <row r="31">
      <c r="A31" s="12" t="inlineStr">
        <is>
          <t>FY2028E SBC / 营收</t>
        </is>
      </c>
      <c r="B31" s="18" t="n">
        <v>0.02969</v>
      </c>
      <c r="C31" s="18" t="n">
        <v>0.02969</v>
      </c>
      <c r="D31" s="18" t="n">
        <v>0.02969</v>
      </c>
      <c r="E31" s="19">
        <f>CHOOSE($B$6,B31,C31,D31)</f>
        <v/>
      </c>
    </row>
    <row r="32">
      <c r="A32" s="12" t="inlineStr">
        <is>
          <t>FY2029E SBC / 营收</t>
        </is>
      </c>
      <c r="B32" s="18" t="n">
        <v>0.02969</v>
      </c>
      <c r="C32" s="18" t="n">
        <v>0.02969</v>
      </c>
      <c r="D32" s="18" t="n">
        <v>0.02969</v>
      </c>
      <c r="E32" s="19">
        <f>CHOOSE($B$6,B32,C32,D32)</f>
        <v/>
      </c>
    </row>
    <row r="33">
      <c r="A33" s="12" t="inlineStr">
        <is>
          <t>FY2030E SBC / 营收</t>
        </is>
      </c>
      <c r="B33" s="18" t="n">
        <v>0.02969</v>
      </c>
      <c r="C33" s="18" t="n">
        <v>0.02969</v>
      </c>
      <c r="D33" s="18" t="n">
        <v>0.02969</v>
      </c>
      <c r="E33" s="19">
        <f>CHOOSE($B$6,B33,C33,D33)</f>
        <v/>
      </c>
    </row>
    <row r="35">
      <c r="A35" s="12" t="inlineStr">
        <is>
          <t>全期营收增速 Δ（敏感性用）</t>
        </is>
      </c>
      <c r="B35" s="20" t="n">
        <v>0</v>
      </c>
      <c r="F35" s="17" t="inlineStr">
        <is>
          <t>加在每一年的生效增速上</t>
        </is>
      </c>
    </row>
    <row r="36">
      <c r="A36" s="12" t="inlineStr">
        <is>
          <t>全期毛利率 Δ（敏感性用）</t>
        </is>
      </c>
      <c r="B36" s="20" t="n">
        <v>0</v>
      </c>
      <c r="F36" s="17" t="inlineStr">
        <is>
          <t>加在每一年的生效毛利率上</t>
        </is>
      </c>
    </row>
    <row r="38">
      <c r="A38" s="4" t="inlineStr">
        <is>
          <t>三、锚定已披露季度（2025-09-28 ~ 2026-06-27，前 3 个季度实际已确定，首个预测年不再靠增速假设外推）</t>
        </is>
      </c>
      <c r="B38" s="5" t="n"/>
      <c r="C38" s="5" t="n"/>
      <c r="D38" s="5" t="n"/>
      <c r="E38" s="5" t="n"/>
      <c r="F38" s="5" t="n"/>
    </row>
    <row r="39">
      <c r="A39" s="12" t="inlineStr">
        <is>
          <t>锚定开关（1=锚定 0=按增速外推）</t>
        </is>
      </c>
      <c r="B39" s="7" t="n">
        <v>1</v>
      </c>
      <c r="F39" s="17" t="inlineStr">
        <is>
          <t>1 时首个预测年营收 = 已披露实际 ÷ 占比，忽略上方该年的营收增速假设</t>
        </is>
      </c>
    </row>
    <row r="40">
      <c r="A40" s="12" t="inlineStr">
        <is>
          <t>已披露期占全年营收比重</t>
        </is>
      </c>
      <c r="B40" s="18" t="n">
        <v>0.7622</v>
      </c>
      <c r="F40" s="15" t="inlineStr">
        <is>
          <t>近4年同期占比：77.1%｜76.6%｜75.7%｜75.4%｜均值 76.22% 标准差 0.70pp</t>
        </is>
      </c>
    </row>
    <row r="41">
      <c r="A41" s="12" t="inlineStr">
        <is>
          <t>剩余期毛利率</t>
        </is>
      </c>
      <c r="B41" s="18" t="n">
        <v>0.49068</v>
      </c>
      <c r="F41" s="15" t="inlineStr">
        <is>
          <t>默认沿用已披露期毛利率 49.07%；判断剩余期是否改善请自行调整</t>
        </is>
      </c>
    </row>
    <row r="42">
      <c r="A42" s="12" t="inlineStr">
        <is>
          <t>已披露期营业收入（实际）</t>
        </is>
      </c>
      <c r="B42" s="21" t="n">
        <v>364357</v>
      </c>
      <c r="F42" s="17" t="inlineStr">
        <is>
          <t>3 个季度合计，取自 10-Q</t>
        </is>
      </c>
    </row>
    <row r="43">
      <c r="A43" s="12" t="inlineStr">
        <is>
          <t>已披露期营业成本（实际）</t>
        </is>
      </c>
      <c r="B43" s="21" t="n">
        <v>185575</v>
      </c>
      <c r="F43" s="17" t="inlineStr">
        <is>
          <t>3 个季度合计，取自 10-Q</t>
        </is>
      </c>
    </row>
    <row r="44">
      <c r="A44" s="6" t="inlineStr">
        <is>
          <t>→ 隐含全年营业收入（占比法）</t>
        </is>
      </c>
      <c r="B44" s="22">
        <f>B42/B40</f>
        <v/>
      </c>
      <c r="F44" s="23" t="inlineStr">
        <is>
          <t>锚定开关=1 时，首个预测年营收即取此值</t>
        </is>
      </c>
    </row>
    <row r="45">
      <c r="A45" s="24" t="inlineStr">
        <is>
          <t xml:space="preserve">　〔交叉口径〕隐含全年营业收入（同期同比法）</t>
        </is>
      </c>
      <c r="B45" s="25" t="n">
        <v>483371.34</v>
      </c>
      <c r="F45" s="17" t="inlineStr">
        <is>
          <t>已披露期同比增速 × 上年全年。占比法假设年内形状稳定，同比法假设同比增速延续——两者差得远说明这一年不好锚</t>
        </is>
      </c>
    </row>
    <row r="46">
      <c r="A46" s="6" t="inlineStr">
        <is>
          <t>→ 隐含全年营业成本</t>
        </is>
      </c>
      <c r="B46" s="22">
        <f>B43+(B44-B42)*(1-B41)</f>
        <v/>
      </c>
    </row>
    <row r="48">
      <c r="A48" s="4" t="inlineStr">
        <is>
          <t>四、自动校准假设（从历史推导；可覆盖）</t>
        </is>
      </c>
      <c r="B48" s="5" t="n"/>
      <c r="C48" s="5" t="n"/>
      <c r="D48" s="5" t="n"/>
      <c r="E48" s="5" t="n"/>
      <c r="F48" s="5" t="n"/>
    </row>
    <row r="49">
      <c r="A49" s="12" t="inlineStr">
        <is>
          <t>研发费用 / 营收</t>
        </is>
      </c>
      <c r="B49" s="20" t="n">
        <v>0.08043</v>
      </c>
      <c r="F49" s="17" t="inlineStr">
        <is>
          <t>近3年均值｜US GAAP 全额费用化（不含可资本化软件成本）</t>
        </is>
      </c>
    </row>
    <row r="50">
      <c r="A50" s="12" t="inlineStr">
        <is>
          <t>销售及管理费用 / 营收</t>
        </is>
      </c>
      <c r="B50" s="20" t="n">
        <v>0.06604</v>
      </c>
      <c r="F50" s="17" t="inlineStr">
        <is>
          <t>近3年均值｜标签缺失时由「销售费用+管理费用」相加</t>
        </is>
      </c>
    </row>
    <row r="51">
      <c r="A51" s="12" t="inlineStr">
        <is>
          <t>其他经营损益 / 营收</t>
        </is>
      </c>
      <c r="B51" s="26" t="n">
        <v>0</v>
      </c>
      <c r="F51" s="17" t="inlineStr">
        <is>
          <t>残差项：令重建的经营利润【精确】等于报表 Operating Income。重组、减值、诉讼和解等未被上面几项捕捉的科目都落在这里，不会凭空消失</t>
        </is>
      </c>
    </row>
    <row r="52">
      <c r="A52" s="12" t="inlineStr">
        <is>
          <t>有效所得税率</t>
        </is>
      </c>
      <c r="B52" s="20" t="n">
        <v>0.1814</v>
      </c>
      <c r="F52" s="17" t="inlineStr">
        <is>
          <t>近3年 所得税/税前利润，夹于 5%–35%</t>
        </is>
      </c>
    </row>
    <row r="53">
      <c r="A53" s="12" t="inlineStr">
        <is>
          <t>少数股东损益占比</t>
        </is>
      </c>
      <c r="B53" s="20" t="n">
        <v>0</v>
      </c>
      <c r="F53" s="17" t="inlineStr">
        <is>
          <t>最近年报实际</t>
        </is>
      </c>
    </row>
    <row r="54">
      <c r="A54" s="12" t="inlineStr">
        <is>
          <t>其他流动资产 / 营收</t>
        </is>
      </c>
      <c r="B54" s="20" t="n">
        <v>0.11858</v>
      </c>
      <c r="F54" s="17" t="inlineStr">
        <is>
          <t>近3年均值</t>
        </is>
      </c>
    </row>
    <row r="55">
      <c r="A55" s="12" t="inlineStr">
        <is>
          <t>其他流动负债 / 营收</t>
        </is>
      </c>
      <c r="B55" s="20" t="n">
        <v>0.19238</v>
      </c>
      <c r="F55" s="17" t="inlineStr">
        <is>
          <t>近3年均值</t>
        </is>
      </c>
    </row>
    <row r="56">
      <c r="A56" s="12" t="inlineStr">
        <is>
          <t>应收周转天数 DSO</t>
        </is>
      </c>
      <c r="B56" s="27" t="n">
        <v>31.4</v>
      </c>
      <c r="F56" s="17" t="inlineStr">
        <is>
          <t>应收 / 营收 × 365</t>
        </is>
      </c>
    </row>
    <row r="57">
      <c r="A57" s="12" t="inlineStr">
        <is>
          <t>存货周转天数 DIO</t>
        </is>
      </c>
      <c r="B57" s="27" t="n">
        <v>11</v>
      </c>
      <c r="F57" s="17" t="inlineStr">
        <is>
          <t>存货 / 营业成本 × 365</t>
        </is>
      </c>
    </row>
    <row r="58">
      <c r="A58" s="12" t="inlineStr">
        <is>
          <t>应付周转天数 DPO</t>
        </is>
      </c>
      <c r="B58" s="27" t="n">
        <v>113.9</v>
      </c>
      <c r="F58" s="17" t="inlineStr">
        <is>
          <t>应付 / 营业成本 × 365</t>
        </is>
      </c>
    </row>
    <row r="59">
      <c r="A59" s="12" t="inlineStr">
        <is>
          <t>折旧率（占期初固定资产净额）</t>
        </is>
      </c>
      <c r="B59" s="20" t="n">
        <v>0.1882</v>
      </c>
      <c r="F59" s="17" t="inlineStr">
        <is>
          <t>分子用纯 PP&amp;E 折旧（XBRL Depreciation），不含无形摊销 —— 与分母口径一致</t>
        </is>
      </c>
    </row>
    <row r="60">
      <c r="A60" s="12" t="inlineStr">
        <is>
          <t>无形摊销 / 营收</t>
        </is>
      </c>
      <c r="B60" s="26" t="n">
        <v>0.00835</v>
      </c>
      <c r="F60" s="17" t="inlineStr">
        <is>
          <t>无形资产与融资租赁摊销，单独按营收比例建模</t>
        </is>
      </c>
    </row>
    <row r="61">
      <c r="A61" s="12" t="inlineStr">
        <is>
          <t>有息负债利率</t>
        </is>
      </c>
      <c r="B61" s="20" t="n">
        <v>0</v>
      </c>
      <c r="F61" s="17" t="inlineStr">
        <is>
          <t>利息费用 ÷ 期初有息负债；缺披露时退回合成评级 kd</t>
        </is>
      </c>
    </row>
    <row r="62">
      <c r="A62" s="12" t="inlineStr">
        <is>
          <t>现金收益率</t>
        </is>
      </c>
      <c r="B62" s="20" t="n">
        <v>0.045</v>
      </c>
      <c r="F62" s="17" t="inlineStr">
        <is>
          <t>现金与短期投资的收益率</t>
        </is>
      </c>
    </row>
    <row r="63">
      <c r="A63" s="12" t="inlineStr">
        <is>
          <t>派息率（占归母净利）</t>
        </is>
      </c>
      <c r="B63" s="20" t="n">
        <v>0.1517</v>
      </c>
      <c r="F63" s="17" t="inlineStr">
        <is>
          <t>近3年实际</t>
        </is>
      </c>
    </row>
    <row r="64">
      <c r="A64" s="12" t="inlineStr">
        <is>
          <t>最低现金余额</t>
        </is>
      </c>
      <c r="B64" s="28" t="n">
        <v>17967</v>
      </c>
      <c r="F64" s="17" t="inlineStr">
        <is>
          <t>低于此触发循环贷</t>
        </is>
      </c>
    </row>
    <row r="65">
      <c r="A65" s="12" t="inlineStr">
        <is>
          <t>现金归集阈值</t>
        </is>
      </c>
      <c r="B65" s="28" t="n">
        <v>20808.1</v>
      </c>
      <c r="F65" s="17" t="inlineStr">
        <is>
          <t>超出最低现金此数则还短贷</t>
        </is>
      </c>
    </row>
    <row r="67">
      <c r="A67" s="4" t="inlineStr">
        <is>
          <t>五、FY2025A 期初余额（模型起点，来自 SEC EDGAR 实际申报）</t>
        </is>
      </c>
      <c r="B67" s="5" t="n"/>
      <c r="C67" s="5" t="n"/>
      <c r="D67" s="5" t="n"/>
      <c r="E67" s="5" t="n"/>
      <c r="F67" s="5" t="n"/>
    </row>
    <row r="68">
      <c r="A68" s="12" t="inlineStr">
        <is>
          <t>现金及等价物</t>
        </is>
      </c>
      <c r="B68" s="28" t="n">
        <v>35934</v>
      </c>
    </row>
    <row r="69">
      <c r="A69" s="12" t="inlineStr">
        <is>
          <t>短期投资</t>
        </is>
      </c>
      <c r="B69" s="28" t="n">
        <v>18763</v>
      </c>
    </row>
    <row r="70">
      <c r="A70" s="12" t="inlineStr">
        <is>
          <t>应收账款</t>
        </is>
      </c>
      <c r="B70" s="28" t="n">
        <v>39777</v>
      </c>
    </row>
    <row r="71">
      <c r="A71" s="12" t="inlineStr">
        <is>
          <t>存货</t>
        </is>
      </c>
      <c r="B71" s="28" t="n">
        <v>5718</v>
      </c>
    </row>
    <row r="72">
      <c r="A72" s="12" t="inlineStr">
        <is>
          <t>其他流动资产</t>
        </is>
      </c>
      <c r="B72" s="28" t="n">
        <v>47765</v>
      </c>
    </row>
    <row r="73">
      <c r="A73" s="12" t="inlineStr">
        <is>
          <t>固定资产净额</t>
        </is>
      </c>
      <c r="B73" s="28" t="n">
        <v>49834</v>
      </c>
    </row>
    <row r="74">
      <c r="A74" s="12" t="inlineStr">
        <is>
          <t>长期投资</t>
        </is>
      </c>
      <c r="B74" s="28" t="n">
        <v>77723</v>
      </c>
    </row>
    <row r="75">
      <c r="A75" s="12" t="inlineStr">
        <is>
          <t>商誉与无形资产</t>
        </is>
      </c>
      <c r="B75" s="28" t="n">
        <v>0</v>
      </c>
    </row>
    <row r="76">
      <c r="A76" s="12" t="inlineStr">
        <is>
          <t>其他非流动资产</t>
        </is>
      </c>
      <c r="B76" s="28" t="n">
        <v>83727</v>
      </c>
    </row>
    <row r="77">
      <c r="A77" s="12" t="inlineStr">
        <is>
          <t>应付账款</t>
        </is>
      </c>
      <c r="B77" s="28" t="n">
        <v>69860</v>
      </c>
    </row>
    <row r="78">
      <c r="A78" s="12" t="inlineStr">
        <is>
          <t>其他流动负债</t>
        </is>
      </c>
      <c r="B78" s="28" t="n">
        <v>75442</v>
      </c>
    </row>
    <row r="79">
      <c r="A79" s="12" t="inlineStr">
        <is>
          <t>一年内到期债务</t>
        </is>
      </c>
      <c r="B79" s="28" t="n">
        <v>12350</v>
      </c>
    </row>
    <row r="80">
      <c r="A80" s="12" t="inlineStr">
        <is>
          <t>短期借款</t>
        </is>
      </c>
      <c r="B80" s="28" t="n">
        <v>7979</v>
      </c>
    </row>
    <row r="81">
      <c r="A81" s="12" t="inlineStr">
        <is>
          <t>长期债务</t>
        </is>
      </c>
      <c r="B81" s="28" t="n">
        <v>78328</v>
      </c>
    </row>
    <row r="82">
      <c r="A82" s="12" t="inlineStr">
        <is>
          <t>其他非流动负债</t>
        </is>
      </c>
      <c r="B82" s="28" t="n">
        <v>41549</v>
      </c>
    </row>
    <row r="83">
      <c r="A83" s="12" t="inlineStr">
        <is>
          <t>少数股东权益</t>
        </is>
      </c>
      <c r="B83" s="28" t="n">
        <v>0</v>
      </c>
    </row>
    <row r="84">
      <c r="A84" s="12" t="inlineStr">
        <is>
          <t>夹层权益</t>
        </is>
      </c>
      <c r="B84" s="28" t="n">
        <v>0</v>
      </c>
    </row>
    <row r="85">
      <c r="A85" s="12" t="inlineStr">
        <is>
          <t>归母权益</t>
        </is>
      </c>
      <c r="B85" s="28" t="n">
        <v>73733</v>
      </c>
    </row>
    <row r="86">
      <c r="A86" s="12" t="inlineStr">
        <is>
          <t>期初研发资本（Damodaran）</t>
        </is>
      </c>
      <c r="B86" s="28" t="n">
        <v>92478.2</v>
      </c>
    </row>
    <row r="87">
      <c r="A87" s="12" t="inlineStr">
        <is>
          <t>基期营业收入</t>
        </is>
      </c>
      <c r="B87" s="28" t="n">
        <v>416161</v>
      </c>
    </row>
    <row r="88">
      <c r="A88" s="12" t="inlineStr">
        <is>
          <t>摊薄股数（百万股）</t>
        </is>
      </c>
      <c r="B88" s="28" t="n">
        <v>14594.18</v>
      </c>
    </row>
    <row r="89">
      <c r="A89" s="12" t="inlineStr">
        <is>
          <t>现价（美元）</t>
        </is>
      </c>
      <c r="B89" s="29" t="n">
        <v>326.5700073242188</v>
      </c>
    </row>
    <row r="90">
      <c r="A90" s="6" t="inlineStr">
        <is>
          <t>★ 期初平衡校验 = 资产 −（负债+权益）</t>
        </is>
      </c>
      <c r="B90" s="30">
        <f>SUM(B68:B76)-SUM(B77:B85)</f>
        <v/>
      </c>
      <c r="F90" s="23" t="inlineStr">
        <is>
          <t>必须为 0</t>
        </is>
      </c>
    </row>
    <row r="91">
      <c r="A91" s="31" t="inlineStr">
        <is>
          <t xml:space="preserve">　（备查）经营租赁负债 — 非流动</t>
        </is>
      </c>
      <c r="B91" s="32" t="n">
        <v>10911</v>
      </c>
      <c r="F91" s="17" t="inlineStr">
        <is>
          <t>ASC 842 下经营租赁费用仍在营业费用内，Operating Income 已扣过租金；故【不】计入净负债，否则重复扣一次。此处仅备查</t>
        </is>
      </c>
    </row>
    <row r="93">
      <c r="A93" s="4" t="inlineStr">
        <is>
          <t>六、DCF 参数</t>
        </is>
      </c>
      <c r="B93" s="5" t="n"/>
      <c r="C93" s="5" t="n"/>
      <c r="D93" s="5" t="n"/>
      <c r="E93" s="5" t="n"/>
      <c r="F93" s="5" t="n"/>
    </row>
    <row r="94">
      <c r="A94" s="12" t="inlineStr">
        <is>
          <t>无风险利率 Rf（10Y UST）</t>
        </is>
      </c>
      <c r="B94" s="26" t="n">
        <v>0.0483</v>
      </c>
      <c r="F94" s="17" t="inlineStr">
        <is>
          <t>FRED DGS10，2026-09-09</t>
        </is>
      </c>
    </row>
    <row r="95">
      <c r="A95" s="12" t="inlineStr">
        <is>
          <t>股权风险溢价 ERP</t>
        </is>
      </c>
      <c r="B95" s="19">
        <f>B116+B123</f>
        <v/>
      </c>
      <c r="F95" s="17" t="inlineStr">
        <is>
          <t>默认 = Damodaran 市场隐含 ERP，自动抓取（2026-09-01，Damodaran ERPbymonth.xlsx）。隐含 ERP 是【由市场当前价格反解出来】的折现率溢价；用高于它的值估个股，等于结构上保证「看什么都贵」—— 实测由 5.0% 降到隐含值，四只大盘科技股的低估幅度平均收窄约 10pp。　其他口径：T12m（默认，他每月对外引用的口径） 4.09%、T12m + 可持续派息 4.14%、T12m + 调整无风险利率 4.31%、正常化 3.56%、平滑 6.05%、净现金收益率 3.80%　可选：实务惯例 5.0%（更保守）；课程历史口径 6–8%。　注意：隐含 ERP 是相对他表内的 T.Bond Rate 4.75% 算出来的，本模型的无风险利率取自 FRED，两者可能差几个 bp</t>
        </is>
      </c>
    </row>
    <row r="96">
      <c r="A96" s="12" t="inlineStr">
        <is>
          <t>Beta（5年对标普500回归+Blume）</t>
        </is>
      </c>
      <c r="B96" s="33" t="n">
        <v>1.1247</v>
      </c>
      <c r="F96" s="17" t="inlineStr">
        <is>
          <t>原始 1.186，样本 1260 日｜2年窗口 1.1029→1.069（504 日）。课程：5年平滑异常，2年更适合动态高成长或刚重组的公司 —— 窗口长度是判断项</t>
        </is>
      </c>
    </row>
    <row r="97">
      <c r="A97" s="12" t="inlineStr">
        <is>
          <t>股权成本 Ke</t>
        </is>
      </c>
      <c r="B97" s="19">
        <f>B94+B96*B95</f>
        <v/>
      </c>
      <c r="F97" s="17" t="inlineStr">
        <is>
          <t>Ke = Rf + Beta × ERP</t>
        </is>
      </c>
    </row>
    <row r="98">
      <c r="A98" s="12" t="inlineStr">
        <is>
          <t>信用评级（可覆盖）</t>
        </is>
      </c>
      <c r="B98" s="34" t="inlineStr">
        <is>
          <t>AAA</t>
        </is>
      </c>
      <c r="F98" s="17" t="inlineStr">
        <is>
          <t>合成评级仅作默认值。投资级顶端 Z 无分辨力（D 项占 82%），且实测系统性高估 1–2 个子级（实际 S&amp;P：MSFT AAA、AAPL AA+、GOOGL AA+、NVDA AA）。已知实际评级时请直接改「信用评级」这一格。</t>
        </is>
      </c>
    </row>
    <row r="99">
      <c r="A99" s="12" t="inlineStr">
        <is>
          <t>信用利差</t>
        </is>
      </c>
      <c r="B99" s="26" t="n">
        <v>0.0042</v>
      </c>
      <c r="F99" s="17" t="inlineStr">
        <is>
          <t>ICE BofA AAA OAS（FRED BAMLC0A1CAAA，2026-09-09）</t>
        </is>
      </c>
    </row>
    <row r="100">
      <c r="A100" s="12" t="inlineStr">
        <is>
          <t>债务成本 Kd（税前）</t>
        </is>
      </c>
      <c r="B100" s="19">
        <f>B94+B99</f>
        <v/>
      </c>
      <c r="F100" s="17" t="inlineStr">
        <is>
          <t>Kd = Rf + 信用利差（课程 Ch.4 公式）</t>
        </is>
      </c>
    </row>
    <row r="101">
      <c r="A101" s="12" t="inlineStr">
        <is>
          <t>债务权重 D/(D+E)</t>
        </is>
      </c>
      <c r="B101" s="26" t="n">
        <v>0.0203</v>
      </c>
      <c r="F101" s="17" t="inlineStr">
        <is>
          <t>有息负债 ÷（有息负债 + 现价×股数）</t>
        </is>
      </c>
    </row>
    <row r="102">
      <c r="A102" s="12" t="inlineStr">
        <is>
          <t>WACC</t>
        </is>
      </c>
      <c r="B102" s="19">
        <f>(1-B101)*B97+B101*B100*(1-B52)</f>
        <v/>
      </c>
      <c r="F102" s="17" t="inlineStr">
        <is>
          <t>WACC = (1−Wd)×Ke + Wd×Kd×(1−t)</t>
        </is>
      </c>
    </row>
    <row r="103">
      <c r="A103" s="12" t="inlineStr">
        <is>
          <t>永续增长率 g</t>
        </is>
      </c>
      <c r="B103" s="26" t="n">
        <v>0.025</v>
      </c>
      <c r="F103" s="17" t="inlineStr">
        <is>
          <t>Damodaran 规则：g 不应超过无风险利率（当前 Rf 即上限）；美国长期名义 GDP 增速约 4%</t>
        </is>
      </c>
    </row>
    <row r="104">
      <c r="A104" s="12" t="inlineStr">
        <is>
          <t>终值所得税率 t_term</t>
        </is>
      </c>
      <c r="B104" s="26" t="n">
        <v>0.25</v>
      </c>
      <c r="F104" s="17" t="inlineStr">
        <is>
          <t>【合并边际税率】21%（联邦）+ 5%（州加权）×(1−21%) = 24.95% ≈ 25%。州税可在联邦税前扣除，所以不是简单相加。只填 21% 会让终值 NOPAT 高估 5.06%，而终值占 EV 约 67–75%。永续期不应假设税收优惠永存 —— 明细期仍用历史有效税率（见上方自动校准）</t>
        </is>
      </c>
    </row>
    <row r="105">
      <c r="A105" s="12" t="inlineStr">
        <is>
          <t>期中折现开关（1=是 0=否）</t>
        </is>
      </c>
      <c r="B105" s="35" t="n">
        <v>1</v>
      </c>
      <c r="F105" s="17" t="inlineStr">
        <is>
          <t>现金流全年均匀发生时取 1</t>
        </is>
      </c>
    </row>
    <row r="106">
      <c r="A106" s="12" t="inlineStr">
        <is>
          <t>估值基准日滚动年数</t>
        </is>
      </c>
      <c r="B106" s="33" t="n">
        <v>0.956</v>
      </c>
      <c r="F106" s="17" t="inlineStr">
        <is>
          <t>2025-09-27 → 2026-09-11（非 12-31 财年在此体现）</t>
        </is>
      </c>
    </row>
    <row r="107">
      <c r="A107" s="12" t="inlineStr">
        <is>
          <t>非经营资产（加回）</t>
        </is>
      </c>
      <c r="B107" s="28" t="n">
        <v>77723</v>
      </c>
      <c r="F107" s="17" t="inlineStr">
        <is>
          <t>长期有价证券与权益法投资；短期投资已在净负债中扣除</t>
        </is>
      </c>
    </row>
    <row r="108">
      <c r="A108" s="12" t="inlineStr">
        <is>
          <t>少数股东扣除方式（1=账面 2=价值）</t>
        </is>
      </c>
      <c r="B108" s="35" t="n">
        <v>2</v>
      </c>
      <c r="F108" s="17" t="inlineStr">
        <is>
          <t>价值法按其利润分成折算</t>
        </is>
      </c>
    </row>
    <row r="109">
      <c r="A109" s="12" t="inlineStr">
        <is>
          <t>研发资本化开关（1=开 0=关）</t>
        </is>
      </c>
      <c r="B109" s="35" t="n">
        <v>1</v>
      </c>
      <c r="F109" s="17" t="inlineStr">
        <is>
          <t>Damodaran 口径：研发是投资不是费用。开启后【只影响投入资本与 ROIC】，不改 FCFF —— 明确期现金流仍与申报报表一一对应（可审计），而终值的 g = 再投资率 × ROIC 才有意义。关掉会怎样：AAPL 的 ROIC 从 82% 跳到 272%（回购把账面权益冲小所致），再投资率随之接近 0，终值等于把当前超额回报永续化</t>
        </is>
      </c>
    </row>
    <row r="110">
      <c r="A110" s="12" t="inlineStr">
        <is>
          <t>研发摊销年限（年）</t>
        </is>
      </c>
      <c r="B110" s="35" t="n">
        <v>5</v>
      </c>
      <c r="F110" s="17" t="inlineStr">
        <is>
          <t>按 SIC 3571 自动映射（软件/互联网 3 年、半导体与硬件 5 年、制药 10 年）</t>
        </is>
      </c>
    </row>
    <row r="111">
      <c r="A111" s="12" t="inlineStr">
        <is>
          <t>终值 ROIC 处理（1=沿用末年 2=收敛至 WACC+溢价）</t>
        </is>
      </c>
      <c r="B111" s="35" t="n">
        <v>1</v>
      </c>
      <c r="F111" s="17" t="inlineStr">
        <is>
          <t>沿用末年 = 假设当前超额回报永续，对高 ROIC 公司过于乐观；收敛 = 竞争终将侵蚀超额回报（Damodaran 更倾向此法）</t>
        </is>
      </c>
    </row>
    <row r="112">
      <c r="A112" s="12" t="inlineStr">
        <is>
          <t>终值 ROIC 收敛溢价（模式2 用）</t>
        </is>
      </c>
      <c r="B112" s="26" t="n">
        <v>0.03</v>
      </c>
      <c r="F112" s="17" t="inlineStr">
        <is>
          <t>收敛后的终值 ROIC = WACC + 本溢价。3% 代表仍保有温和护城河</t>
        </is>
      </c>
    </row>
    <row r="113">
      <c r="A113" s="12" t="inlineStr">
        <is>
          <t>SBC 加回开关（0=费用化 1=加回）</t>
        </is>
      </c>
      <c r="B113" s="35" t="n">
        <v>0</v>
      </c>
      <c r="F113" s="17" t="inlineStr">
        <is>
          <t>0 = Damodaran 口径（默认）：SBC 已含在 R&amp;D/SG&amp;A 内，不加回，且【股数不因 SBC 摊薄】。1 = 卖方惯例：加回 SBC，同时股数按 SBC/股价 摊薄。两件事绑在同一开关上，无法只做一半</t>
        </is>
      </c>
    </row>
    <row r="115">
      <c r="A115" s="6" t="inlineStr">
        <is>
          <t xml:space="preserve">　〔ERP 明细〕收入地域加权（Damodaran 国别风险溢价）</t>
        </is>
      </c>
      <c r="F115" s="17" t="inlineStr">
        <is>
          <t>口径：成熟市场基准 = 标普隐含 ERP − 美国 CRP；加权 ERP = 基准 + Σ(收入权重 × 国别CRP)。纯美国收入时自动还原为标普隐含 ERP。分地域收入取自 FMP FY2025</t>
        </is>
      </c>
    </row>
    <row r="116">
      <c r="A116" s="24" t="inlineStr">
        <is>
          <t xml:space="preserve">　　成熟市场基准（标普隐含 ERP − 美国 CRP）</t>
        </is>
      </c>
      <c r="B116" s="36" t="n">
        <v>0.03857</v>
      </c>
    </row>
    <row r="117">
      <c r="A117" s="11" t="inlineStr">
        <is>
          <t xml:space="preserve">　　地域</t>
        </is>
      </c>
      <c r="B117" s="11" t="inlineStr">
        <is>
          <t>收入权重</t>
        </is>
      </c>
      <c r="C117" s="11" t="inlineStr">
        <is>
          <t>映射到</t>
        </is>
      </c>
      <c r="D117" s="11" t="inlineStr">
        <is>
          <t>国别CRP</t>
        </is>
      </c>
    </row>
    <row r="118">
      <c r="A118" s="24" t="inlineStr">
        <is>
          <t xml:space="preserve">　　Americas Segment</t>
        </is>
      </c>
      <c r="B118" s="16" t="n">
        <v>0.4286</v>
      </c>
      <c r="C118" s="17" t="inlineStr">
        <is>
          <t>North America</t>
        </is>
      </c>
      <c r="D118" s="18" t="n">
        <v>0.00216</v>
      </c>
    </row>
    <row r="119">
      <c r="A119" s="24" t="inlineStr">
        <is>
          <t xml:space="preserve">　　Europe Segment</t>
        </is>
      </c>
      <c r="B119" s="16" t="n">
        <v>0.2668</v>
      </c>
      <c r="C119" s="17" t="inlineStr">
        <is>
          <t>Western Europe</t>
        </is>
      </c>
      <c r="D119" s="18" t="n">
        <v>0.009690000000000001</v>
      </c>
    </row>
    <row r="120">
      <c r="A120" s="24" t="inlineStr">
        <is>
          <t xml:space="preserve">　　Greater China Segment</t>
        </is>
      </c>
      <c r="B120" s="16" t="n">
        <v>0.1547</v>
      </c>
      <c r="C120" s="17" t="inlineStr">
        <is>
          <t>CHINA</t>
        </is>
      </c>
      <c r="D120" s="18" t="n">
        <v>0.009129999999999999</v>
      </c>
    </row>
    <row r="121">
      <c r="A121" s="24" t="inlineStr">
        <is>
          <t xml:space="preserve">　　Rest of Asia Pacific Segment</t>
        </is>
      </c>
      <c r="B121" s="16" t="n">
        <v>0.081</v>
      </c>
      <c r="C121" s="17" t="inlineStr">
        <is>
          <t>Asia</t>
        </is>
      </c>
      <c r="D121" s="18" t="n">
        <v>0.02474</v>
      </c>
    </row>
    <row r="122">
      <c r="A122" s="24" t="inlineStr">
        <is>
          <t xml:space="preserve">　　Japan Segment</t>
        </is>
      </c>
      <c r="B122" s="16" t="n">
        <v>0.06900000000000001</v>
      </c>
      <c r="C122" s="17" t="inlineStr">
        <is>
          <t>JAPAN</t>
        </is>
      </c>
      <c r="D122" s="18" t="n">
        <v>0.009129999999999999</v>
      </c>
    </row>
    <row r="123">
      <c r="A123" s="6" t="inlineStr">
        <is>
          <t xml:space="preserve">　　加权 CRP</t>
        </is>
      </c>
      <c r="B123" s="37">
        <f>B118*D118+B119*D119+B120*D120+B121*D121+B122*D122</f>
        <v/>
      </c>
      <c r="F123" s="17" t="inlineStr">
        <is>
          <t>权重与 CRP 都可改；映射不确定时直接改右侧 CRP 即可</t>
        </is>
      </c>
    </row>
    <row r="124">
      <c r="A124" s="24" t="inlineStr">
        <is>
          <t xml:space="preserve">　★ 权重合计（应为 100%）</t>
        </is>
      </c>
      <c r="B124" s="38">
        <f>SUM(B118:B122)</f>
        <v/>
      </c>
    </row>
    <row r="127">
      <c r="A127" s="4" t="inlineStr">
        <is>
          <t>七、股本与融资（回购 / 增发）</t>
        </is>
      </c>
      <c r="B127" s="5" t="n"/>
      <c r="C127" s="5" t="n"/>
      <c r="D127" s="5" t="n"/>
      <c r="E127" s="5" t="n"/>
      <c r="F127" s="5" t="n"/>
    </row>
    <row r="128">
      <c r="A128" s="12" t="inlineStr">
        <is>
          <t>年度回购金额 / 营收</t>
        </is>
      </c>
      <c r="B128" s="26" t="n">
        <v>0.22104</v>
      </c>
      <c r="F128" s="17" t="inlineStr">
        <is>
          <t>近3年实际 22.10%。美股回购是常态，股数必须逐年滚动</t>
        </is>
      </c>
    </row>
    <row r="129">
      <c r="A129" s="12" t="inlineStr">
        <is>
          <t>回购均价（美元/股）</t>
        </is>
      </c>
      <c r="B129" s="29" t="n">
        <v>326.570007</v>
      </c>
      <c r="F129" s="17" t="inlineStr">
        <is>
          <t>默认取现价。若现价高于内在价值，回购会【降低】每股内在价值 —— 模型会如实显示</t>
        </is>
      </c>
    </row>
    <row r="130">
      <c r="A130" s="12" t="inlineStr">
        <is>
          <t>增发股数（百万股）</t>
        </is>
      </c>
      <c r="B130" s="27" t="n">
        <v>0</v>
      </c>
      <c r="F130" s="17" t="inlineStr">
        <is>
          <t>0 = 关闭增发。可为负（等同注销）</t>
        </is>
      </c>
    </row>
    <row r="131">
      <c r="A131" s="12" t="inlineStr">
        <is>
          <t>增发价（美元/股）</t>
        </is>
      </c>
      <c r="B131" s="29" t="n">
        <v>326.57</v>
      </c>
    </row>
    <row r="132">
      <c r="A132" s="12" t="inlineStr">
        <is>
          <t>增发费用率</t>
        </is>
      </c>
      <c r="B132" s="20" t="n">
        <v>0.01</v>
      </c>
    </row>
    <row r="133">
      <c r="A133" s="12" t="inlineStr">
        <is>
          <t>增发到账年份序号（1=首个预测年）</t>
        </is>
      </c>
      <c r="B133" s="35" t="n">
        <v>1</v>
      </c>
      <c r="F133" s="17" t="inlineStr">
        <is>
          <t>取 1..5</t>
        </is>
      </c>
    </row>
    <row r="134">
      <c r="A134" s="12" t="inlineStr">
        <is>
          <t>募资投向 — 资本开支</t>
        </is>
      </c>
      <c r="B134" s="28" t="n">
        <v>0</v>
      </c>
      <c r="F134" s="17" t="inlineStr">
        <is>
          <t>唯一会改变经营现金流的一项</t>
        </is>
      </c>
    </row>
    <row r="135">
      <c r="A135" s="12" t="inlineStr">
        <is>
          <t>募资净额（公式）</t>
        </is>
      </c>
      <c r="B135" s="39">
        <f>B130*B131*(1-B132)</f>
        <v/>
      </c>
    </row>
    <row r="136">
      <c r="A136" s="12" t="inlineStr">
        <is>
          <t>桥接折现年数</t>
        </is>
      </c>
      <c r="B136" s="40" t="n">
        <v>0</v>
      </c>
      <c r="F136" s="17" t="inlineStr">
        <is>
          <t>0 = 视同已完成</t>
        </is>
      </c>
    </row>
    <row r="138">
      <c r="A138" s="4" t="inlineStr">
        <is>
          <t>八、方法诊断（FINC6021 · Titman &amp; Martin）</t>
        </is>
      </c>
      <c r="B138" s="5" t="n"/>
      <c r="C138" s="5" t="n"/>
      <c r="D138" s="5" t="n"/>
      <c r="E138" s="5" t="n"/>
      <c r="F138" s="5" t="n"/>
    </row>
    <row r="139">
      <c r="A139" s="12" t="inlineStr">
        <is>
          <t>Altman Z-score</t>
        </is>
      </c>
      <c r="B139" s="41" t="n">
        <v>12.282</v>
      </c>
      <c r="F139" s="17" t="inlineStr">
        <is>
          <t>判定：安全区（&gt;2.99 安全 / 1.81–2.99 灰色 / &lt;1.81 困境）</t>
        </is>
      </c>
    </row>
    <row r="140">
      <c r="A140" s="12" t="inlineStr">
        <is>
          <t xml:space="preserve">　其中 D 项（股权市值/总负债）占比</t>
        </is>
      </c>
      <c r="B140" s="14" t="n">
        <v>0.8155</v>
      </c>
      <c r="F140" s="17" t="inlineStr">
        <is>
          <t>占比越高，Z 越是「这家公司很值钱」的同义反复，越没有信用信息量。Altman 1968 年标定于制造业样本，彼时市值与负债同量级</t>
        </is>
      </c>
    </row>
    <row r="141">
      <c r="A141" s="12" t="inlineStr">
        <is>
          <t>kd 变动 77bp 时 WACC 的变动（bp）</t>
        </is>
      </c>
      <c r="B141" s="41" t="n">
        <v>1.28</v>
      </c>
      <c r="F141" s="17" t="inlineStr">
        <is>
          <t>杠杆极低时这个数会小到无关紧要 —— 合成评级值不值得较真，取决于 Wd 而非 Z 算得多精</t>
        </is>
      </c>
    </row>
    <row r="142">
      <c r="A142" s="12" t="inlineStr">
        <is>
          <t>ROE（归母 / 平均净资产）</t>
        </is>
      </c>
      <c r="B142" s="14" t="n">
        <v>1.7142</v>
      </c>
    </row>
    <row r="143">
      <c r="A143" s="12" t="inlineStr">
        <is>
          <t>可持续增长率 g =（1−派息率）× ROE</t>
        </is>
      </c>
      <c r="B143" s="14" t="n">
        <v>1.4542</v>
      </c>
      <c r="F143" s="17" t="inlineStr">
        <is>
          <t>⚠ 不可用：ROE 171% &gt; 50%，多半是长期回购把账面权益冲小所致，公式失效。此类公司应以 ROIC 为锚（即本模型终值用的 g = 再投资率 × ROIC）</t>
        </is>
      </c>
    </row>
    <row r="144">
      <c r="A144" s="12" t="inlineStr">
        <is>
          <t>经营杠杆度 DOL = 1 + [FC(1−t) − Dep×t] / OCF</t>
        </is>
      </c>
      <c r="B144" s="41" t="n">
        <v>1.366</v>
      </c>
      <c r="F144" s="17" t="inlineStr">
        <is>
          <t>固定成本占比越高，营业利润对收入越敏感，风险越高 → 理应用更低的倍数。课程两栋写字楼案例：naive 套倍数会高估 7%</t>
        </is>
      </c>
    </row>
    <row r="145">
      <c r="A145" s="8" t="inlineStr">
        <is>
          <t>★ Plug（财务政策变量）</t>
        </is>
      </c>
      <c r="B145" s="42" t="inlineStr">
        <is>
          <t>现金 + 循环贷</t>
        </is>
      </c>
      <c r="F145" s="15" t="inlineStr">
        <is>
          <t>课程 Ch.6：plug 是财务模型中最重要的财务政策变量，不是技术细节。本模型以现金为 plug、辅以循环贷；这意味着预测期的资本结构会【漂移】，而 WACC 假定它恒定 —— 漂移量见「5_DCF」页的资本结构漂移诊断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2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Apple Inc. (AAPL) — Income（百万美元，US GAAP）</t>
        </is>
      </c>
    </row>
    <row r="2">
      <c r="A2" s="3" t="inlineStr">
        <is>
          <t>B:F = 历史实际（斜体静态，来自 SEC EDGAR）　｜　G:K = 公式预测　｜　基数 = FY2025A（F 列）</t>
        </is>
      </c>
    </row>
    <row r="4">
      <c r="A4" s="4" t="inlineStr">
        <is>
          <t>Income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11" t="inlineStr">
        <is>
          <t>科目（百万美元）</t>
        </is>
      </c>
      <c r="B5" s="43" t="inlineStr">
        <is>
          <t>FY2021A</t>
        </is>
      </c>
      <c r="C5" s="43" t="inlineStr">
        <is>
          <t>FY2022A</t>
        </is>
      </c>
      <c r="D5" s="43" t="inlineStr">
        <is>
          <t>FY2023A</t>
        </is>
      </c>
      <c r="E5" s="43" t="inlineStr">
        <is>
          <t>FY2024A</t>
        </is>
      </c>
      <c r="F5" s="43" t="inlineStr">
        <is>
          <t>FY2025A</t>
        </is>
      </c>
      <c r="G5" s="10" t="inlineStr">
        <is>
          <t>FY2026E</t>
        </is>
      </c>
      <c r="H5" s="10" t="inlineStr">
        <is>
          <t>FY2027E</t>
        </is>
      </c>
      <c r="I5" s="10" t="inlineStr">
        <is>
          <t>FY2028E</t>
        </is>
      </c>
      <c r="J5" s="10" t="inlineStr">
        <is>
          <t>FY2029E</t>
        </is>
      </c>
      <c r="K5" s="10" t="inlineStr">
        <is>
          <t>FY2030E</t>
        </is>
      </c>
    </row>
    <row r="6">
      <c r="A6" s="44" t="inlineStr">
        <is>
          <t>Revenue 营业收入</t>
        </is>
      </c>
      <c r="B6" s="25" t="n">
        <v>365817</v>
      </c>
      <c r="C6" s="25" t="n">
        <v>394328</v>
      </c>
      <c r="D6" s="25" t="n">
        <v>383285</v>
      </c>
      <c r="E6" s="25" t="n">
        <v>391035</v>
      </c>
      <c r="F6" s="25" t="n">
        <v>416161</v>
      </c>
      <c r="G6" s="22">
        <f>F6*(1+'1_Assumptions'!$E$11+'1_Assumptions'!$B$35)</f>
        <v/>
      </c>
      <c r="H6" s="22">
        <f>G6*(1+'1_Assumptions'!$E$12+'1_Assumptions'!$B$35)</f>
        <v/>
      </c>
      <c r="I6" s="22">
        <f>H6*(1+'1_Assumptions'!$E$13+'1_Assumptions'!$B$35)</f>
        <v/>
      </c>
      <c r="J6" s="22">
        <f>I6*(1+'1_Assumptions'!$E$14+'1_Assumptions'!$B$35)</f>
        <v/>
      </c>
      <c r="K6" s="22">
        <f>J6*(1+'1_Assumptions'!$E$15+'1_Assumptions'!$B$35)</f>
        <v/>
      </c>
    </row>
    <row r="7">
      <c r="A7" s="12" t="inlineStr">
        <is>
          <t xml:space="preserve">  营收增速</t>
        </is>
      </c>
      <c r="B7" s="45" t="n"/>
      <c r="C7" s="45" t="n">
        <v>0.07793799999999999</v>
      </c>
      <c r="D7" s="45" t="n">
        <v>-0.028005</v>
      </c>
      <c r="E7" s="45" t="n">
        <v>0.02022</v>
      </c>
      <c r="F7" s="45" t="n">
        <v>0.06425500000000001</v>
      </c>
      <c r="G7" s="14">
        <f>G6/F6-1</f>
        <v/>
      </c>
      <c r="H7" s="14">
        <f>H6/G6-1</f>
        <v/>
      </c>
      <c r="I7" s="14">
        <f>I6/H6-1</f>
        <v/>
      </c>
      <c r="J7" s="14">
        <f>J6/I6-1</f>
        <v/>
      </c>
      <c r="K7" s="14">
        <f>K6/J6-1</f>
        <v/>
      </c>
    </row>
    <row r="8">
      <c r="A8" s="12" t="inlineStr">
        <is>
          <t>Cost of revenue 营业成本</t>
        </is>
      </c>
      <c r="B8" s="25" t="n">
        <v>212981</v>
      </c>
      <c r="C8" s="25" t="n">
        <v>223546</v>
      </c>
      <c r="D8" s="25" t="n">
        <v>214137</v>
      </c>
      <c r="E8" s="25" t="n">
        <v>210352</v>
      </c>
      <c r="F8" s="25" t="n">
        <v>220960</v>
      </c>
      <c r="G8" s="39">
        <f>G6*(1-'1_Assumptions'!$E$17-'1_Assumptions'!$B$36)</f>
        <v/>
      </c>
      <c r="H8" s="39">
        <f>H6*(1-'1_Assumptions'!$E$18-'1_Assumptions'!$B$36)</f>
        <v/>
      </c>
      <c r="I8" s="39">
        <f>I6*(1-'1_Assumptions'!$E$19-'1_Assumptions'!$B$36)</f>
        <v/>
      </c>
      <c r="J8" s="39">
        <f>J6*(1-'1_Assumptions'!$E$20-'1_Assumptions'!$B$36)</f>
        <v/>
      </c>
      <c r="K8" s="39">
        <f>K6*(1-'1_Assumptions'!$E$21-'1_Assumptions'!$B$36)</f>
        <v/>
      </c>
    </row>
    <row r="9">
      <c r="A9" s="44" t="inlineStr">
        <is>
          <t>Gross profit 毛利</t>
        </is>
      </c>
      <c r="B9" s="25" t="n">
        <v>152836</v>
      </c>
      <c r="C9" s="25" t="n">
        <v>170782</v>
      </c>
      <c r="D9" s="25" t="n">
        <v>169148</v>
      </c>
      <c r="E9" s="25" t="n">
        <v>180683</v>
      </c>
      <c r="F9" s="25" t="n">
        <v>195201</v>
      </c>
      <c r="G9" s="22">
        <f>G6-G8</f>
        <v/>
      </c>
      <c r="H9" s="22">
        <f>H6-H8</f>
        <v/>
      </c>
      <c r="I9" s="22">
        <f>I6-I8</f>
        <v/>
      </c>
      <c r="J9" s="22">
        <f>J6-J8</f>
        <v/>
      </c>
      <c r="K9" s="22">
        <f>K6-K8</f>
        <v/>
      </c>
    </row>
    <row r="10">
      <c r="A10" s="12" t="inlineStr">
        <is>
          <t xml:space="preserve">  毛利率</t>
        </is>
      </c>
      <c r="B10" s="45" t="n">
        <v>0.417794</v>
      </c>
      <c r="C10" s="45" t="n">
        <v>0.433096</v>
      </c>
      <c r="D10" s="45" t="n">
        <v>0.441311</v>
      </c>
      <c r="E10" s="45" t="n">
        <v>0.462063</v>
      </c>
      <c r="F10" s="45" t="n">
        <v>0.469052</v>
      </c>
      <c r="G10" s="14">
        <f>G9/G6</f>
        <v/>
      </c>
      <c r="H10" s="14">
        <f>H9/H6</f>
        <v/>
      </c>
      <c r="I10" s="14">
        <f>I9/I6</f>
        <v/>
      </c>
      <c r="J10" s="14">
        <f>J9/J6</f>
        <v/>
      </c>
      <c r="K10" s="14">
        <f>K9/K6</f>
        <v/>
      </c>
    </row>
    <row r="11">
      <c r="A11" s="12" t="inlineStr">
        <is>
          <t>R&amp;D 研发费用</t>
        </is>
      </c>
      <c r="B11" s="25" t="n">
        <v>21914</v>
      </c>
      <c r="C11" s="25" t="n">
        <v>26251</v>
      </c>
      <c r="D11" s="25" t="n">
        <v>29915</v>
      </c>
      <c r="E11" s="25" t="n">
        <v>31370</v>
      </c>
      <c r="F11" s="25" t="n">
        <v>34550</v>
      </c>
      <c r="G11" s="39">
        <f>G6*'1_Assumptions'!$B$49</f>
        <v/>
      </c>
      <c r="H11" s="39">
        <f>H6*'1_Assumptions'!$B$49</f>
        <v/>
      </c>
      <c r="I11" s="39">
        <f>I6*'1_Assumptions'!$B$49</f>
        <v/>
      </c>
      <c r="J11" s="39">
        <f>J6*'1_Assumptions'!$B$49</f>
        <v/>
      </c>
      <c r="K11" s="39">
        <f>K6*'1_Assumptions'!$B$49</f>
        <v/>
      </c>
    </row>
    <row r="12">
      <c r="A12" s="12" t="inlineStr">
        <is>
          <t>SG&amp;A 销售及管理费用</t>
        </is>
      </c>
      <c r="B12" s="25" t="n">
        <v>21973</v>
      </c>
      <c r="C12" s="25" t="n">
        <v>25094</v>
      </c>
      <c r="D12" s="25" t="n">
        <v>24932</v>
      </c>
      <c r="E12" s="25" t="n">
        <v>26097</v>
      </c>
      <c r="F12" s="25" t="n">
        <v>27601</v>
      </c>
      <c r="G12" s="39">
        <f>G6*'1_Assumptions'!$B$50</f>
        <v/>
      </c>
      <c r="H12" s="39">
        <f>H6*'1_Assumptions'!$B$50</f>
        <v/>
      </c>
      <c r="I12" s="39">
        <f>I6*'1_Assumptions'!$B$50</f>
        <v/>
      </c>
      <c r="J12" s="39">
        <f>J6*'1_Assumptions'!$B$50</f>
        <v/>
      </c>
      <c r="K12" s="39">
        <f>K6*'1_Assumptions'!$B$50</f>
        <v/>
      </c>
    </row>
    <row r="13">
      <c r="A13" s="12" t="inlineStr">
        <is>
          <t>Other operating 其他经营损益</t>
        </is>
      </c>
      <c r="B13" s="25" t="n"/>
      <c r="C13" s="25" t="n"/>
      <c r="D13" s="25" t="n"/>
      <c r="E13" s="25" t="n"/>
      <c r="F13" s="25" t="n"/>
      <c r="G13" s="39">
        <f>G6*'1_Assumptions'!$B$51</f>
        <v/>
      </c>
      <c r="H13" s="39">
        <f>H6*'1_Assumptions'!$B$51</f>
        <v/>
      </c>
      <c r="I13" s="39">
        <f>I6*'1_Assumptions'!$B$51</f>
        <v/>
      </c>
      <c r="J13" s="39">
        <f>J6*'1_Assumptions'!$B$51</f>
        <v/>
      </c>
      <c r="K13" s="39">
        <f>K6*'1_Assumptions'!$B$51</f>
        <v/>
      </c>
    </row>
    <row r="14">
      <c r="A14" s="44" t="inlineStr">
        <is>
          <t>Operating income (EBIT) 经营利润</t>
        </is>
      </c>
      <c r="B14" s="25" t="n">
        <v>108949</v>
      </c>
      <c r="C14" s="25" t="n">
        <v>119437</v>
      </c>
      <c r="D14" s="25" t="n">
        <v>114301</v>
      </c>
      <c r="E14" s="25" t="n">
        <v>123216</v>
      </c>
      <c r="F14" s="25" t="n">
        <v>133050</v>
      </c>
      <c r="G14" s="22">
        <f>G9-G11-G12+G13</f>
        <v/>
      </c>
      <c r="H14" s="22">
        <f>H9-H11-H12+H13</f>
        <v/>
      </c>
      <c r="I14" s="22">
        <f>I9-I11-I12+I13</f>
        <v/>
      </c>
      <c r="J14" s="22">
        <f>J9-J11-J12+J13</f>
        <v/>
      </c>
      <c r="K14" s="22">
        <f>K9-K11-K12+K13</f>
        <v/>
      </c>
    </row>
    <row r="15">
      <c r="A15" s="12" t="inlineStr">
        <is>
          <t>Interest expense 利息支出</t>
        </is>
      </c>
      <c r="B15" s="25" t="n">
        <v>2645</v>
      </c>
      <c r="C15" s="25" t="n">
        <v>2931</v>
      </c>
      <c r="D15" s="25" t="n">
        <v>3933</v>
      </c>
      <c r="E15" s="25" t="n"/>
      <c r="F15" s="25" t="n"/>
      <c r="G15" s="39">
        <f>('3_Balance'!F18+'3_Balance'!F19+'3_Balance'!F21)*'1_Assumptions'!$B$61</f>
        <v/>
      </c>
      <c r="H15" s="39">
        <f>('3_Balance'!G18+'3_Balance'!G19+'3_Balance'!G21)*'1_Assumptions'!$B$61</f>
        <v/>
      </c>
      <c r="I15" s="39">
        <f>('3_Balance'!H18+'3_Balance'!H19+'3_Balance'!H21)*'1_Assumptions'!$B$61</f>
        <v/>
      </c>
      <c r="J15" s="39">
        <f>('3_Balance'!I18+'3_Balance'!I19+'3_Balance'!I21)*'1_Assumptions'!$B$61</f>
        <v/>
      </c>
      <c r="K15" s="39">
        <f>('3_Balance'!J18+'3_Balance'!J19+'3_Balance'!J21)*'1_Assumptions'!$B$61</f>
        <v/>
      </c>
    </row>
    <row r="16">
      <c r="A16" s="12" t="inlineStr">
        <is>
          <t>Interest &amp; investment income 利息与投资收益</t>
        </is>
      </c>
      <c r="B16" s="25" t="n"/>
      <c r="C16" s="25" t="n"/>
      <c r="D16" s="25" t="n"/>
      <c r="E16" s="25" t="n"/>
      <c r="F16" s="25" t="n"/>
      <c r="G16" s="39">
        <f>('3_Balance'!F6+'3_Balance'!F7)*'1_Assumptions'!$B$62</f>
        <v/>
      </c>
      <c r="H16" s="39">
        <f>('3_Balance'!G6+'3_Balance'!G7)*'1_Assumptions'!$B$62</f>
        <v/>
      </c>
      <c r="I16" s="39">
        <f>('3_Balance'!H6+'3_Balance'!H7)*'1_Assumptions'!$B$62</f>
        <v/>
      </c>
      <c r="J16" s="39">
        <f>('3_Balance'!I6+'3_Balance'!I7)*'1_Assumptions'!$B$62</f>
        <v/>
      </c>
      <c r="K16" s="39">
        <f>('3_Balance'!J6+'3_Balance'!J7)*'1_Assumptions'!$B$62</f>
        <v/>
      </c>
    </row>
    <row r="17">
      <c r="A17" s="12" t="inlineStr">
        <is>
          <t>Other non-operating 其他非经营损益</t>
        </is>
      </c>
      <c r="B17" s="25" t="n">
        <v>258</v>
      </c>
      <c r="C17" s="25" t="n">
        <v>-334</v>
      </c>
      <c r="D17" s="25" t="n">
        <v>-565</v>
      </c>
      <c r="E17" s="25" t="n">
        <v>269</v>
      </c>
      <c r="F17" s="25" t="n">
        <v>-321</v>
      </c>
      <c r="G17" s="39">
        <f>0</f>
        <v/>
      </c>
      <c r="H17" s="39">
        <f>0</f>
        <v/>
      </c>
      <c r="I17" s="39">
        <f>0</f>
        <v/>
      </c>
      <c r="J17" s="39">
        <f>0</f>
        <v/>
      </c>
      <c r="K17" s="39">
        <f>0</f>
        <v/>
      </c>
    </row>
    <row r="18">
      <c r="A18" s="44" t="inlineStr">
        <is>
          <t>Pretax income 税前利润</t>
        </is>
      </c>
      <c r="B18" s="25" t="n">
        <v>109207</v>
      </c>
      <c r="C18" s="25" t="n">
        <v>119103</v>
      </c>
      <c r="D18" s="25" t="n">
        <v>113736</v>
      </c>
      <c r="E18" s="25" t="n">
        <v>123485</v>
      </c>
      <c r="F18" s="25" t="n">
        <v>132729</v>
      </c>
      <c r="G18" s="22">
        <f>G14-G15+G16+G17</f>
        <v/>
      </c>
      <c r="H18" s="22">
        <f>H14-H15+H16+H17</f>
        <v/>
      </c>
      <c r="I18" s="22">
        <f>I14-I15+I16+I17</f>
        <v/>
      </c>
      <c r="J18" s="22">
        <f>J14-J15+J16+J17</f>
        <v/>
      </c>
      <c r="K18" s="22">
        <f>K14-K15+K16+K17</f>
        <v/>
      </c>
    </row>
    <row r="19">
      <c r="A19" s="12" t="inlineStr">
        <is>
          <t>Income tax 所得税</t>
        </is>
      </c>
      <c r="B19" s="25" t="n">
        <v>14527</v>
      </c>
      <c r="C19" s="25" t="n">
        <v>19300</v>
      </c>
      <c r="D19" s="25" t="n">
        <v>16741</v>
      </c>
      <c r="E19" s="25" t="n">
        <v>29749</v>
      </c>
      <c r="F19" s="25" t="n">
        <v>20719</v>
      </c>
      <c r="G19" s="39">
        <f>G18*'1_Assumptions'!$B$52</f>
        <v/>
      </c>
      <c r="H19" s="39">
        <f>H18*'1_Assumptions'!$B$52</f>
        <v/>
      </c>
      <c r="I19" s="39">
        <f>I18*'1_Assumptions'!$B$52</f>
        <v/>
      </c>
      <c r="J19" s="39">
        <f>J18*'1_Assumptions'!$B$52</f>
        <v/>
      </c>
      <c r="K19" s="39">
        <f>K18*'1_Assumptions'!$B$52</f>
        <v/>
      </c>
    </row>
    <row r="20">
      <c r="A20" s="44" t="inlineStr">
        <is>
          <t>Net income 净利润</t>
        </is>
      </c>
      <c r="B20" s="25" t="n">
        <v>94680</v>
      </c>
      <c r="C20" s="25" t="n">
        <v>99803</v>
      </c>
      <c r="D20" s="25" t="n">
        <v>96995</v>
      </c>
      <c r="E20" s="25" t="n">
        <v>93736</v>
      </c>
      <c r="F20" s="25" t="n">
        <v>112010</v>
      </c>
      <c r="G20" s="22">
        <f>G18-G19</f>
        <v/>
      </c>
      <c r="H20" s="22">
        <f>H18-H19</f>
        <v/>
      </c>
      <c r="I20" s="22">
        <f>I18-I19</f>
        <v/>
      </c>
      <c r="J20" s="22">
        <f>J18-J19</f>
        <v/>
      </c>
      <c r="K20" s="22">
        <f>K18-K19</f>
        <v/>
      </c>
    </row>
    <row r="21">
      <c r="A21" s="12" t="inlineStr">
        <is>
          <t xml:space="preserve">  less: NCI 少数股东损益</t>
        </is>
      </c>
      <c r="B21" s="25" t="n"/>
      <c r="C21" s="25" t="n"/>
      <c r="D21" s="25" t="n"/>
      <c r="E21" s="25" t="n"/>
      <c r="F21" s="25" t="n"/>
      <c r="G21" s="39">
        <f>G20*'1_Assumptions'!$B$53</f>
        <v/>
      </c>
      <c r="H21" s="39">
        <f>H20*'1_Assumptions'!$B$53</f>
        <v/>
      </c>
      <c r="I21" s="39">
        <f>I20*'1_Assumptions'!$B$53</f>
        <v/>
      </c>
      <c r="J21" s="39">
        <f>J20*'1_Assumptions'!$B$53</f>
        <v/>
      </c>
      <c r="K21" s="39">
        <f>K20*'1_Assumptions'!$B$53</f>
        <v/>
      </c>
    </row>
    <row r="22">
      <c r="A22" s="44" t="inlineStr">
        <is>
          <t>Net income to parent 归母净利润</t>
        </is>
      </c>
      <c r="B22" s="25" t="n">
        <v>94680</v>
      </c>
      <c r="C22" s="25" t="n">
        <v>99803</v>
      </c>
      <c r="D22" s="25" t="n">
        <v>96995</v>
      </c>
      <c r="E22" s="25" t="n">
        <v>93736</v>
      </c>
      <c r="F22" s="25" t="n">
        <v>112010</v>
      </c>
      <c r="G22" s="22">
        <f>G20-G21</f>
        <v/>
      </c>
      <c r="H22" s="22">
        <f>H20-H21</f>
        <v/>
      </c>
      <c r="I22" s="22">
        <f>I20-I21</f>
        <v/>
      </c>
      <c r="J22" s="22">
        <f>J20-J21</f>
        <v/>
      </c>
      <c r="K22" s="22">
        <f>K20-K21</f>
        <v/>
      </c>
    </row>
    <row r="23">
      <c r="A23" s="12" t="inlineStr">
        <is>
          <t>Diluted shares 摊薄股数（百万股）</t>
        </is>
      </c>
      <c r="B23" s="25" t="n">
        <v>16864.92</v>
      </c>
      <c r="C23" s="25" t="n">
        <v>16325.82</v>
      </c>
      <c r="D23" s="25" t="n">
        <v>15812.55</v>
      </c>
      <c r="E23" s="25" t="n">
        <v>15408.09</v>
      </c>
      <c r="F23" s="25" t="n">
        <v>15004.7</v>
      </c>
      <c r="G23" s="39">
        <f>'4_CashFlow'!G30</f>
        <v/>
      </c>
      <c r="H23" s="39">
        <f>'4_CashFlow'!H30</f>
        <v/>
      </c>
      <c r="I23" s="39">
        <f>'4_CashFlow'!I30</f>
        <v/>
      </c>
      <c r="J23" s="39">
        <f>'4_CashFlow'!J30</f>
        <v/>
      </c>
      <c r="K23" s="39">
        <f>'4_CashFlow'!K30</f>
        <v/>
      </c>
    </row>
    <row r="24">
      <c r="A24" s="44" t="inlineStr">
        <is>
          <t>Diluted EPS</t>
        </is>
      </c>
      <c r="B24" s="46" t="n"/>
      <c r="C24" s="46" t="n"/>
      <c r="D24" s="46" t="n"/>
      <c r="E24" s="46" t="n"/>
      <c r="F24" s="46" t="n"/>
      <c r="G24" s="47">
        <f>G22/G23</f>
        <v/>
      </c>
      <c r="H24" s="47">
        <f>H22/H23</f>
        <v/>
      </c>
      <c r="I24" s="47">
        <f>I22/I23</f>
        <v/>
      </c>
      <c r="J24" s="47">
        <f>J22/J23</f>
        <v/>
      </c>
      <c r="K24" s="47">
        <f>K22/K23</f>
        <v/>
      </c>
    </row>
    <row r="25">
      <c r="A25" s="12" t="inlineStr">
        <is>
          <t xml:space="preserve">  P/E（按现价）</t>
        </is>
      </c>
      <c r="B25" s="48" t="n"/>
      <c r="C25" s="48" t="n"/>
      <c r="D25" s="48" t="n"/>
      <c r="E25" s="48" t="n"/>
      <c r="F25" s="48" t="n"/>
      <c r="G25" s="41">
        <f>'1_Assumptions'!$B$89/G24</f>
        <v/>
      </c>
      <c r="H25" s="41">
        <f>'1_Assumptions'!$B$89/H24</f>
        <v/>
      </c>
      <c r="I25" s="41">
        <f>'1_Assumptions'!$B$89/I24</f>
        <v/>
      </c>
      <c r="J25" s="41">
        <f>'1_Assumptions'!$B$89/J24</f>
        <v/>
      </c>
      <c r="K25" s="41">
        <f>'1_Assumptions'!$B$89/K24</f>
        <v/>
      </c>
    </row>
    <row r="26">
      <c r="A26" s="12" t="inlineStr">
        <is>
          <t>（备查）SBC 股份支付</t>
        </is>
      </c>
      <c r="B26" s="25" t="n">
        <v>7906</v>
      </c>
      <c r="C26" s="25" t="n">
        <v>9038</v>
      </c>
      <c r="D26" s="25" t="n">
        <v>10833</v>
      </c>
      <c r="E26" s="25" t="n">
        <v>11688</v>
      </c>
      <c r="F26" s="25" t="n">
        <v>12863</v>
      </c>
      <c r="G26" s="39">
        <f>G6*'1_Assumptions'!$E$29</f>
        <v/>
      </c>
      <c r="H26" s="39">
        <f>H6*'1_Assumptions'!$E$30</f>
        <v/>
      </c>
      <c r="I26" s="39">
        <f>I6*'1_Assumptions'!$E$31</f>
        <v/>
      </c>
      <c r="J26" s="39">
        <f>J6*'1_Assumptions'!$E$32</f>
        <v/>
      </c>
      <c r="K26" s="39">
        <f>K6*'1_Assumptions'!$E$33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3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Apple Inc. (AAPL) — Balance（百万美元，US GAAP）</t>
        </is>
      </c>
    </row>
    <row r="2">
      <c r="A2" s="3" t="inlineStr">
        <is>
          <t>B:F = 历史实际（斜体静态，来自 SEC EDGAR）　｜　G:K = 公式预测　｜　基数 = FY2025A（F 列）</t>
        </is>
      </c>
    </row>
    <row r="4">
      <c r="A4" s="4" t="inlineStr">
        <is>
          <t>Balance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11" t="inlineStr">
        <is>
          <t>科目（百万美元）</t>
        </is>
      </c>
      <c r="B5" s="43" t="inlineStr">
        <is>
          <t>FY2021A</t>
        </is>
      </c>
      <c r="C5" s="43" t="inlineStr">
        <is>
          <t>FY2022A</t>
        </is>
      </c>
      <c r="D5" s="43" t="inlineStr">
        <is>
          <t>FY2023A</t>
        </is>
      </c>
      <c r="E5" s="43" t="inlineStr">
        <is>
          <t>FY2024A</t>
        </is>
      </c>
      <c r="F5" s="43" t="inlineStr">
        <is>
          <t>FY2025A</t>
        </is>
      </c>
      <c r="G5" s="10" t="inlineStr">
        <is>
          <t>FY2026E</t>
        </is>
      </c>
      <c r="H5" s="10" t="inlineStr">
        <is>
          <t>FY2027E</t>
        </is>
      </c>
      <c r="I5" s="10" t="inlineStr">
        <is>
          <t>FY2028E</t>
        </is>
      </c>
      <c r="J5" s="10" t="inlineStr">
        <is>
          <t>FY2029E</t>
        </is>
      </c>
      <c r="K5" s="10" t="inlineStr">
        <is>
          <t>FY2030E</t>
        </is>
      </c>
    </row>
    <row r="6">
      <c r="A6" s="12" t="inlineStr">
        <is>
          <t>Cash &amp; equivalents 现金</t>
        </is>
      </c>
      <c r="B6" s="25" t="n">
        <v>34940</v>
      </c>
      <c r="C6" s="25" t="n">
        <v>23646</v>
      </c>
      <c r="D6" s="25" t="n">
        <v>29965</v>
      </c>
      <c r="E6" s="25" t="n">
        <v>29943</v>
      </c>
      <c r="F6" s="25" t="n">
        <v>35934</v>
      </c>
      <c r="G6" s="39">
        <f>'4_CashFlow'!G27</f>
        <v/>
      </c>
      <c r="H6" s="39">
        <f>'4_CashFlow'!H27</f>
        <v/>
      </c>
      <c r="I6" s="39">
        <f>'4_CashFlow'!I27</f>
        <v/>
      </c>
      <c r="J6" s="39">
        <f>'4_CashFlow'!J27</f>
        <v/>
      </c>
      <c r="K6" s="39">
        <f>'4_CashFlow'!K27</f>
        <v/>
      </c>
    </row>
    <row r="7">
      <c r="A7" s="12" t="inlineStr">
        <is>
          <t>Short-term investments 短期投资</t>
        </is>
      </c>
      <c r="B7" s="25" t="n">
        <v>27699</v>
      </c>
      <c r="C7" s="25" t="n">
        <v>24658</v>
      </c>
      <c r="D7" s="25" t="n">
        <v>31590</v>
      </c>
      <c r="E7" s="25" t="n">
        <v>35228</v>
      </c>
      <c r="F7" s="25" t="n">
        <v>18763</v>
      </c>
      <c r="G7" s="39">
        <f>F7</f>
        <v/>
      </c>
      <c r="H7" s="39">
        <f>G7</f>
        <v/>
      </c>
      <c r="I7" s="39">
        <f>H7</f>
        <v/>
      </c>
      <c r="J7" s="39">
        <f>I7</f>
        <v/>
      </c>
      <c r="K7" s="39">
        <f>J7</f>
        <v/>
      </c>
    </row>
    <row r="8">
      <c r="A8" s="12" t="inlineStr">
        <is>
          <t>Accounts receivable 应收账款</t>
        </is>
      </c>
      <c r="B8" s="25" t="n">
        <v>26278</v>
      </c>
      <c r="C8" s="25" t="n">
        <v>28184</v>
      </c>
      <c r="D8" s="25" t="n">
        <v>29508</v>
      </c>
      <c r="E8" s="25" t="n">
        <v>33410</v>
      </c>
      <c r="F8" s="25" t="n">
        <v>39777</v>
      </c>
      <c r="G8" s="39">
        <f>'2_Income'!G6*'1_Assumptions'!$B$56/365</f>
        <v/>
      </c>
      <c r="H8" s="39">
        <f>'2_Income'!H6*'1_Assumptions'!$B$56/365</f>
        <v/>
      </c>
      <c r="I8" s="39">
        <f>'2_Income'!I6*'1_Assumptions'!$B$56/365</f>
        <v/>
      </c>
      <c r="J8" s="39">
        <f>'2_Income'!J6*'1_Assumptions'!$B$56/365</f>
        <v/>
      </c>
      <c r="K8" s="39">
        <f>'2_Income'!K6*'1_Assumptions'!$B$56/365</f>
        <v/>
      </c>
    </row>
    <row r="9">
      <c r="A9" s="12" t="inlineStr">
        <is>
          <t>Inventory 存货</t>
        </is>
      </c>
      <c r="B9" s="25" t="n">
        <v>6580</v>
      </c>
      <c r="C9" s="25" t="n">
        <v>4946</v>
      </c>
      <c r="D9" s="25" t="n">
        <v>6331</v>
      </c>
      <c r="E9" s="25" t="n">
        <v>7286</v>
      </c>
      <c r="F9" s="25" t="n">
        <v>5718</v>
      </c>
      <c r="G9" s="39">
        <f>'2_Income'!G8*'1_Assumptions'!$B$57/365</f>
        <v/>
      </c>
      <c r="H9" s="39">
        <f>'2_Income'!H8*'1_Assumptions'!$B$57/365</f>
        <v/>
      </c>
      <c r="I9" s="39">
        <f>'2_Income'!I8*'1_Assumptions'!$B$57/365</f>
        <v/>
      </c>
      <c r="J9" s="39">
        <f>'2_Income'!J8*'1_Assumptions'!$B$57/365</f>
        <v/>
      </c>
      <c r="K9" s="39">
        <f>'2_Income'!K8*'1_Assumptions'!$B$57/365</f>
        <v/>
      </c>
    </row>
    <row r="10">
      <c r="A10" s="12" t="inlineStr">
        <is>
          <t>Other current assets 其他流动资产</t>
        </is>
      </c>
      <c r="B10" s="25" t="n">
        <v>39339</v>
      </c>
      <c r="C10" s="25" t="n">
        <v>53971</v>
      </c>
      <c r="D10" s="25" t="n">
        <v>46172</v>
      </c>
      <c r="E10" s="25" t="n">
        <v>47120</v>
      </c>
      <c r="F10" s="25" t="n">
        <v>47765</v>
      </c>
      <c r="G10" s="39">
        <f>'2_Income'!G6*'1_Assumptions'!$B$54</f>
        <v/>
      </c>
      <c r="H10" s="39">
        <f>'2_Income'!H6*'1_Assumptions'!$B$54</f>
        <v/>
      </c>
      <c r="I10" s="39">
        <f>'2_Income'!I6*'1_Assumptions'!$B$54</f>
        <v/>
      </c>
      <c r="J10" s="39">
        <f>'2_Income'!J6*'1_Assumptions'!$B$54</f>
        <v/>
      </c>
      <c r="K10" s="39">
        <f>'2_Income'!K6*'1_Assumptions'!$B$54</f>
        <v/>
      </c>
    </row>
    <row r="11">
      <c r="A11" s="44" t="inlineStr">
        <is>
          <t xml:space="preserve">  Total current assets 流动资产合计</t>
        </is>
      </c>
      <c r="B11" s="25" t="n"/>
      <c r="C11" s="25" t="n"/>
      <c r="D11" s="25" t="n"/>
      <c r="E11" s="25" t="n"/>
      <c r="F11" s="25" t="n"/>
      <c r="G11" s="22">
        <f>SUM(G6:G10)</f>
        <v/>
      </c>
      <c r="H11" s="22">
        <f>SUM(H6:H10)</f>
        <v/>
      </c>
      <c r="I11" s="22">
        <f>SUM(I6:I10)</f>
        <v/>
      </c>
      <c r="J11" s="22">
        <f>SUM(J6:J10)</f>
        <v/>
      </c>
      <c r="K11" s="22">
        <f>SUM(K6:K10)</f>
        <v/>
      </c>
    </row>
    <row r="12">
      <c r="A12" s="12" t="inlineStr">
        <is>
          <t>PP&amp;E, net 固定资产净额</t>
        </is>
      </c>
      <c r="B12" s="25" t="n">
        <v>39440</v>
      </c>
      <c r="C12" s="25" t="n">
        <v>42117</v>
      </c>
      <c r="D12" s="25" t="n">
        <v>43715</v>
      </c>
      <c r="E12" s="25" t="n">
        <v>45680</v>
      </c>
      <c r="F12" s="25" t="n">
        <v>49834</v>
      </c>
      <c r="G12" s="39">
        <f>F12-'4_CashFlow'!G16-'4_CashFlow'!G7</f>
        <v/>
      </c>
      <c r="H12" s="39">
        <f>G12-'4_CashFlow'!H16-'4_CashFlow'!H7</f>
        <v/>
      </c>
      <c r="I12" s="39">
        <f>H12-'4_CashFlow'!I16-'4_CashFlow'!I7</f>
        <v/>
      </c>
      <c r="J12" s="39">
        <f>I12-'4_CashFlow'!J16-'4_CashFlow'!J7</f>
        <v/>
      </c>
      <c r="K12" s="39">
        <f>J12-'4_CashFlow'!K16-'4_CashFlow'!K7</f>
        <v/>
      </c>
    </row>
    <row r="13">
      <c r="A13" s="12" t="inlineStr">
        <is>
          <t>Long-term investments 长期投资</t>
        </is>
      </c>
      <c r="B13" s="25" t="n">
        <v>127877</v>
      </c>
      <c r="C13" s="25" t="n">
        <v>120805</v>
      </c>
      <c r="D13" s="25" t="n">
        <v>100544</v>
      </c>
      <c r="E13" s="25" t="n">
        <v>91479</v>
      </c>
      <c r="F13" s="25" t="n">
        <v>77723</v>
      </c>
      <c r="G13" s="39">
        <f>F13</f>
        <v/>
      </c>
      <c r="H13" s="39">
        <f>G13</f>
        <v/>
      </c>
      <c r="I13" s="39">
        <f>H13</f>
        <v/>
      </c>
      <c r="J13" s="39">
        <f>I13</f>
        <v/>
      </c>
      <c r="K13" s="39">
        <f>J13</f>
        <v/>
      </c>
    </row>
    <row r="14">
      <c r="A14" s="12" t="inlineStr">
        <is>
          <t>Goodwill &amp; intangibles 商誉与无形资产</t>
        </is>
      </c>
      <c r="B14" s="25" t="n"/>
      <c r="C14" s="25" t="n"/>
      <c r="D14" s="25" t="n"/>
      <c r="E14" s="25" t="n"/>
      <c r="F14" s="25" t="n"/>
      <c r="G14" s="39">
        <f>F14-'4_CashFlow'!G8</f>
        <v/>
      </c>
      <c r="H14" s="39">
        <f>G14-'4_CashFlow'!H8</f>
        <v/>
      </c>
      <c r="I14" s="39">
        <f>H14-'4_CashFlow'!I8</f>
        <v/>
      </c>
      <c r="J14" s="39">
        <f>I14-'4_CashFlow'!J8</f>
        <v/>
      </c>
      <c r="K14" s="39">
        <f>J14-'4_CashFlow'!K8</f>
        <v/>
      </c>
    </row>
    <row r="15">
      <c r="A15" s="12" t="inlineStr">
        <is>
          <t>Other non-current assets 其他非流动资产</t>
        </is>
      </c>
      <c r="B15" s="25" t="n">
        <v>48849</v>
      </c>
      <c r="C15" s="25" t="n">
        <v>54428</v>
      </c>
      <c r="D15" s="25" t="n">
        <v>64758</v>
      </c>
      <c r="E15" s="25" t="n">
        <v>74834</v>
      </c>
      <c r="F15" s="25" t="n">
        <v>83727</v>
      </c>
      <c r="G15" s="39">
        <f>F15</f>
        <v/>
      </c>
      <c r="H15" s="39">
        <f>G15</f>
        <v/>
      </c>
      <c r="I15" s="39">
        <f>H15</f>
        <v/>
      </c>
      <c r="J15" s="39">
        <f>I15</f>
        <v/>
      </c>
      <c r="K15" s="39">
        <f>J15</f>
        <v/>
      </c>
    </row>
    <row r="16">
      <c r="A16" s="44" t="inlineStr">
        <is>
          <t xml:space="preserve">  Total assets 资产总计</t>
        </is>
      </c>
      <c r="B16" s="25" t="n"/>
      <c r="C16" s="25" t="n"/>
      <c r="D16" s="25" t="n"/>
      <c r="E16" s="25" t="n"/>
      <c r="F16" s="25" t="n"/>
      <c r="G16" s="22">
        <f>G11+SUM(G12:G15)</f>
        <v/>
      </c>
      <c r="H16" s="22">
        <f>H11+SUM(H12:H15)</f>
        <v/>
      </c>
      <c r="I16" s="22">
        <f>I11+SUM(I12:I15)</f>
        <v/>
      </c>
      <c r="J16" s="22">
        <f>J11+SUM(J12:J15)</f>
        <v/>
      </c>
      <c r="K16" s="22">
        <f>K11+SUM(K12:K15)</f>
        <v/>
      </c>
    </row>
    <row r="17">
      <c r="A17" s="4" t="inlineStr">
        <is>
          <t>Liabilities &amp; equity 负债与所有者权益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12" t="inlineStr">
        <is>
          <t>Short-term borrowings 短期借款</t>
        </is>
      </c>
      <c r="B18" s="25" t="n">
        <v>6000</v>
      </c>
      <c r="C18" s="25" t="n">
        <v>9982</v>
      </c>
      <c r="D18" s="25" t="n">
        <v>5985</v>
      </c>
      <c r="E18" s="25" t="n">
        <v>9967</v>
      </c>
      <c r="F18" s="25" t="n">
        <v>7979</v>
      </c>
      <c r="G18" s="39">
        <f>F18+'4_CashFlow'!G23</f>
        <v/>
      </c>
      <c r="H18" s="39">
        <f>G18+'4_CashFlow'!H23</f>
        <v/>
      </c>
      <c r="I18" s="39">
        <f>H18+'4_CashFlow'!I23</f>
        <v/>
      </c>
      <c r="J18" s="39">
        <f>I18+'4_CashFlow'!J23</f>
        <v/>
      </c>
      <c r="K18" s="39">
        <f>J18+'4_CashFlow'!K23</f>
        <v/>
      </c>
    </row>
    <row r="19">
      <c r="A19" s="12" t="inlineStr">
        <is>
          <t>Current portion of LT debt 一年内到期债务</t>
        </is>
      </c>
      <c r="B19" s="25" t="n">
        <v>9613</v>
      </c>
      <c r="C19" s="25" t="n">
        <v>11128</v>
      </c>
      <c r="D19" s="25" t="n">
        <v>9822</v>
      </c>
      <c r="E19" s="25" t="n">
        <v>10912</v>
      </c>
      <c r="F19" s="25" t="n">
        <v>12350</v>
      </c>
      <c r="G19" s="39">
        <f>F19</f>
        <v/>
      </c>
      <c r="H19" s="39">
        <f>G19</f>
        <v/>
      </c>
      <c r="I19" s="39">
        <f>H19</f>
        <v/>
      </c>
      <c r="J19" s="39">
        <f>I19</f>
        <v/>
      </c>
      <c r="K19" s="39">
        <f>J19</f>
        <v/>
      </c>
    </row>
    <row r="20">
      <c r="A20" s="12" t="inlineStr">
        <is>
          <t>Accounts payable 应付账款</t>
        </is>
      </c>
      <c r="B20" s="25" t="n">
        <v>54763</v>
      </c>
      <c r="C20" s="25" t="n">
        <v>64115</v>
      </c>
      <c r="D20" s="25" t="n">
        <v>62611</v>
      </c>
      <c r="E20" s="25" t="n">
        <v>68960</v>
      </c>
      <c r="F20" s="25" t="n">
        <v>69860</v>
      </c>
      <c r="G20" s="39">
        <f>'2_Income'!G8*'1_Assumptions'!$B$58/365</f>
        <v/>
      </c>
      <c r="H20" s="39">
        <f>'2_Income'!H8*'1_Assumptions'!$B$58/365</f>
        <v/>
      </c>
      <c r="I20" s="39">
        <f>'2_Income'!I8*'1_Assumptions'!$B$58/365</f>
        <v/>
      </c>
      <c r="J20" s="39">
        <f>'2_Income'!J8*'1_Assumptions'!$B$58/365</f>
        <v/>
      </c>
      <c r="K20" s="39">
        <f>'2_Income'!K8*'1_Assumptions'!$B$58/365</f>
        <v/>
      </c>
    </row>
    <row r="21">
      <c r="A21" s="12" t="inlineStr">
        <is>
          <t>Long-term debt 长期债务</t>
        </is>
      </c>
      <c r="B21" s="25" t="n">
        <v>109106</v>
      </c>
      <c r="C21" s="25" t="n">
        <v>98959</v>
      </c>
      <c r="D21" s="25" t="n">
        <v>95281</v>
      </c>
      <c r="E21" s="25" t="n">
        <v>85750</v>
      </c>
      <c r="F21" s="25" t="n">
        <v>78328</v>
      </c>
      <c r="G21" s="39">
        <f>F21</f>
        <v/>
      </c>
      <c r="H21" s="39">
        <f>G21</f>
        <v/>
      </c>
      <c r="I21" s="39">
        <f>H21</f>
        <v/>
      </c>
      <c r="J21" s="39">
        <f>I21</f>
        <v/>
      </c>
      <c r="K21" s="39">
        <f>J21</f>
        <v/>
      </c>
    </row>
    <row r="22">
      <c r="A22" s="12" t="inlineStr">
        <is>
          <t>Other current liabilities 其他流动负债</t>
        </is>
      </c>
      <c r="B22" s="25" t="n">
        <v>55105</v>
      </c>
      <c r="C22" s="25" t="n">
        <v>68757</v>
      </c>
      <c r="D22" s="25" t="n">
        <v>66890</v>
      </c>
      <c r="E22" s="25" t="n">
        <v>86553</v>
      </c>
      <c r="F22" s="25" t="n">
        <v>75442</v>
      </c>
      <c r="G22" s="39">
        <f>'2_Income'!G6*'1_Assumptions'!$B$55</f>
        <v/>
      </c>
      <c r="H22" s="39">
        <f>'2_Income'!H6*'1_Assumptions'!$B$55</f>
        <v/>
      </c>
      <c r="I22" s="39">
        <f>'2_Income'!I6*'1_Assumptions'!$B$55</f>
        <v/>
      </c>
      <c r="J22" s="39">
        <f>'2_Income'!J6*'1_Assumptions'!$B$55</f>
        <v/>
      </c>
      <c r="K22" s="39">
        <f>'2_Income'!K6*'1_Assumptions'!$B$55</f>
        <v/>
      </c>
    </row>
    <row r="23">
      <c r="A23" s="12" t="inlineStr">
        <is>
          <t>Other non-current liabilities 其他非流动负债</t>
        </is>
      </c>
      <c r="B23" s="25" t="n">
        <v>53325</v>
      </c>
      <c r="C23" s="25" t="n">
        <v>49142</v>
      </c>
      <c r="D23" s="25" t="n">
        <v>49848</v>
      </c>
      <c r="E23" s="25" t="n">
        <v>45888</v>
      </c>
      <c r="F23" s="25" t="n">
        <v>41549</v>
      </c>
      <c r="G23" s="39">
        <f>F23</f>
        <v/>
      </c>
      <c r="H23" s="39">
        <f>G23</f>
        <v/>
      </c>
      <c r="I23" s="39">
        <f>H23</f>
        <v/>
      </c>
      <c r="J23" s="39">
        <f>I23</f>
        <v/>
      </c>
      <c r="K23" s="39">
        <f>J23</f>
        <v/>
      </c>
    </row>
    <row r="24">
      <c r="A24" s="44" t="inlineStr">
        <is>
          <t xml:space="preserve">  Total liabilities 负债合计</t>
        </is>
      </c>
      <c r="B24" s="25" t="n"/>
      <c r="C24" s="25" t="n"/>
      <c r="D24" s="25" t="n"/>
      <c r="E24" s="25" t="n"/>
      <c r="F24" s="25" t="n"/>
      <c r="G24" s="22">
        <f>SUM(G18:G23)</f>
        <v/>
      </c>
      <c r="H24" s="22">
        <f>SUM(H18:H23)</f>
        <v/>
      </c>
      <c r="I24" s="22">
        <f>SUM(I18:I23)</f>
        <v/>
      </c>
      <c r="J24" s="22">
        <f>SUM(J18:J23)</f>
        <v/>
      </c>
      <c r="K24" s="22">
        <f>SUM(K18:K23)</f>
        <v/>
      </c>
    </row>
    <row r="25">
      <c r="A25" s="12" t="inlineStr">
        <is>
          <t>Stockholders' equity 归母权益</t>
        </is>
      </c>
      <c r="B25" s="25" t="n">
        <v>63090</v>
      </c>
      <c r="C25" s="25" t="n">
        <v>50672</v>
      </c>
      <c r="D25" s="25" t="n">
        <v>62146</v>
      </c>
      <c r="E25" s="25" t="n">
        <v>56950</v>
      </c>
      <c r="F25" s="25" t="n">
        <v>73733</v>
      </c>
      <c r="G25" s="39">
        <f>F25+'2_Income'!G22+'4_CashFlow'!G20+'4_CashFlow'!G21+'4_CashFlow'!G22+'2_Income'!G26</f>
        <v/>
      </c>
      <c r="H25" s="39">
        <f>G25+'2_Income'!H22+'4_CashFlow'!H20+'4_CashFlow'!H21+'4_CashFlow'!H22+'2_Income'!H26</f>
        <v/>
      </c>
      <c r="I25" s="39">
        <f>H25+'2_Income'!I22+'4_CashFlow'!I20+'4_CashFlow'!I21+'4_CashFlow'!I22+'2_Income'!I26</f>
        <v/>
      </c>
      <c r="J25" s="39">
        <f>I25+'2_Income'!J22+'4_CashFlow'!J20+'4_CashFlow'!J21+'4_CashFlow'!J22+'2_Income'!J26</f>
        <v/>
      </c>
      <c r="K25" s="39">
        <f>J25+'2_Income'!K22+'4_CashFlow'!K20+'4_CashFlow'!K21+'4_CashFlow'!K22+'2_Income'!K26</f>
        <v/>
      </c>
    </row>
    <row r="26">
      <c r="A26" s="12" t="inlineStr">
        <is>
          <t>Noncontrolling interests 少数股东权益</t>
        </is>
      </c>
      <c r="B26" s="25" t="n"/>
      <c r="C26" s="25" t="n"/>
      <c r="D26" s="25" t="n"/>
      <c r="E26" s="25" t="n"/>
      <c r="F26" s="25" t="n"/>
      <c r="G26" s="39">
        <f>F26+'2_Income'!G21</f>
        <v/>
      </c>
      <c r="H26" s="39">
        <f>G26+'2_Income'!H21</f>
        <v/>
      </c>
      <c r="I26" s="39">
        <f>H26+'2_Income'!I21</f>
        <v/>
      </c>
      <c r="J26" s="39">
        <f>I26+'2_Income'!J21</f>
        <v/>
      </c>
      <c r="K26" s="39">
        <f>J26+'2_Income'!K21</f>
        <v/>
      </c>
    </row>
    <row r="27">
      <c r="A27" s="44" t="inlineStr">
        <is>
          <t xml:space="preserve">  Total equity 权益合计</t>
        </is>
      </c>
      <c r="B27" s="25" t="n"/>
      <c r="C27" s="25" t="n"/>
      <c r="D27" s="25" t="n"/>
      <c r="E27" s="25" t="n"/>
      <c r="F27" s="25" t="n"/>
      <c r="G27" s="22">
        <f>G25+G26</f>
        <v/>
      </c>
      <c r="H27" s="22">
        <f>H25+H26</f>
        <v/>
      </c>
      <c r="I27" s="22">
        <f>I25+I26</f>
        <v/>
      </c>
      <c r="J27" s="22">
        <f>J25+J26</f>
        <v/>
      </c>
      <c r="K27" s="22">
        <f>K25+K26</f>
        <v/>
      </c>
    </row>
    <row r="28">
      <c r="A28" s="44" t="inlineStr">
        <is>
          <t xml:space="preserve">  Total liabilities &amp; equity 负债和权益总计</t>
        </is>
      </c>
      <c r="B28" s="25" t="n"/>
      <c r="C28" s="25" t="n"/>
      <c r="D28" s="25" t="n"/>
      <c r="E28" s="25" t="n"/>
      <c r="F28" s="25" t="n"/>
      <c r="G28" s="22">
        <f>G24+G27</f>
        <v/>
      </c>
      <c r="H28" s="22">
        <f>H24+H27</f>
        <v/>
      </c>
      <c r="I28" s="22">
        <f>I24+I27</f>
        <v/>
      </c>
      <c r="J28" s="22">
        <f>J24+J27</f>
        <v/>
      </c>
      <c r="K28" s="22">
        <f>K24+K27</f>
        <v/>
      </c>
    </row>
    <row r="29">
      <c r="A29" s="44" t="inlineStr">
        <is>
          <t>★ 平衡校验 = 资产 −（负债+权益）</t>
        </is>
      </c>
      <c r="B29" s="49" t="n"/>
      <c r="C29" s="49" t="n"/>
      <c r="D29" s="49" t="n"/>
      <c r="E29" s="49" t="n"/>
      <c r="F29" s="49" t="n"/>
      <c r="G29" s="50">
        <f>G16-G28</f>
        <v/>
      </c>
      <c r="H29" s="50">
        <f>H16-H28</f>
        <v/>
      </c>
      <c r="I29" s="50">
        <f>I16-I28</f>
        <v/>
      </c>
      <c r="J29" s="50">
        <f>J16-J28</f>
        <v/>
      </c>
      <c r="K29" s="50">
        <f>K16-K28</f>
        <v/>
      </c>
    </row>
    <row r="30">
      <c r="A30" s="12" t="inlineStr">
        <is>
          <t>Net debt 净负债</t>
        </is>
      </c>
      <c r="B30" s="25" t="n"/>
      <c r="C30" s="25" t="n"/>
      <c r="D30" s="25" t="n"/>
      <c r="E30" s="25" t="n"/>
      <c r="F30" s="25" t="n"/>
      <c r="G30" s="39">
        <f>G18+G19+G21-G6-G7</f>
        <v/>
      </c>
      <c r="H30" s="39">
        <f>H18+H19+H21-H6-H7</f>
        <v/>
      </c>
      <c r="I30" s="39">
        <f>I18+I19+I21-I6-I7</f>
        <v/>
      </c>
      <c r="J30" s="39">
        <f>J18+J19+J21-J6-J7</f>
        <v/>
      </c>
      <c r="K30" s="39">
        <f>K18+K19+K21-K6-K7</f>
        <v/>
      </c>
    </row>
    <row r="31">
      <c r="A31" s="12" t="inlineStr">
        <is>
          <t>NWC 营运资本</t>
        </is>
      </c>
      <c r="B31" s="25" t="n"/>
      <c r="C31" s="25" t="n"/>
      <c r="D31" s="25" t="n"/>
      <c r="E31" s="25" t="n"/>
      <c r="F31" s="25" t="n"/>
      <c r="G31" s="39">
        <f>G8+G9+G10-G20-G22</f>
        <v/>
      </c>
      <c r="H31" s="39">
        <f>H8+H9+H10-H20-H22</f>
        <v/>
      </c>
      <c r="I31" s="39">
        <f>I8+I9+I10-I20-I22</f>
        <v/>
      </c>
      <c r="J31" s="39">
        <f>J8+J9+J10-J20-J22</f>
        <v/>
      </c>
      <c r="K31" s="39">
        <f>K8+K9+K10-K20-K22</f>
        <v/>
      </c>
    </row>
    <row r="32">
      <c r="A32" s="12" t="inlineStr">
        <is>
          <t>〔备查〕研发摊销 R&amp;D amortization</t>
        </is>
      </c>
      <c r="B32" s="25" t="n"/>
      <c r="C32" s="25" t="n"/>
      <c r="D32" s="25" t="n"/>
      <c r="E32" s="25" t="n"/>
      <c r="F32" s="25" t="n"/>
      <c r="G32" s="39">
        <f>F33/'1_Assumptions'!$B$110</f>
        <v/>
      </c>
      <c r="H32" s="39">
        <f>G33/'1_Assumptions'!$B$110</f>
        <v/>
      </c>
      <c r="I32" s="39">
        <f>H33/'1_Assumptions'!$B$110</f>
        <v/>
      </c>
      <c r="J32" s="39">
        <f>I33/'1_Assumptions'!$B$110</f>
        <v/>
      </c>
      <c r="K32" s="39">
        <f>J33/'1_Assumptions'!$B$110</f>
        <v/>
      </c>
    </row>
    <row r="33">
      <c r="A33" s="12" t="inlineStr">
        <is>
          <t>〔备查〕研发资本 Research asset</t>
        </is>
      </c>
      <c r="B33" s="25" t="n"/>
      <c r="C33" s="25" t="n"/>
      <c r="D33" s="25" t="n"/>
      <c r="E33" s="25" t="n"/>
      <c r="F33" s="25" t="n">
        <v>92478.2</v>
      </c>
      <c r="G33" s="39">
        <f>F33+'2_Income'!G11-G32</f>
        <v/>
      </c>
      <c r="H33" s="39">
        <f>G33+'2_Income'!H11-H32</f>
        <v/>
      </c>
      <c r="I33" s="39">
        <f>H33+'2_Income'!I11-I32</f>
        <v/>
      </c>
      <c r="J33" s="39">
        <f>I33+'2_Income'!J11-J32</f>
        <v/>
      </c>
      <c r="K33" s="39">
        <f>J33+'2_Income'!K11-K32</f>
        <v/>
      </c>
    </row>
    <row r="34">
      <c r="A34" s="44" t="inlineStr">
        <is>
          <t>〔备查〕投入资本 IC（申报口径）</t>
        </is>
      </c>
      <c r="B34" s="25" t="n"/>
      <c r="C34" s="25" t="n"/>
      <c r="D34" s="25" t="n"/>
      <c r="E34" s="25" t="n"/>
      <c r="F34" s="25" t="n"/>
      <c r="G34" s="22">
        <f>G31+G12+G14+G15-G23</f>
        <v/>
      </c>
      <c r="H34" s="22">
        <f>H31+H12+H14+H15-H23</f>
        <v/>
      </c>
      <c r="I34" s="22">
        <f>I31+I12+I14+I15-I23</f>
        <v/>
      </c>
      <c r="J34" s="22">
        <f>J31+J12+J14+J15-J23</f>
        <v/>
      </c>
      <c r="K34" s="22">
        <f>K31+K12+K14+K15-K23</f>
        <v/>
      </c>
    </row>
    <row r="35">
      <c r="A35" s="44" t="inlineStr">
        <is>
          <t>〔备查〕投入资本 IC（含研发资本）</t>
        </is>
      </c>
      <c r="B35" s="25" t="n"/>
      <c r="C35" s="25" t="n"/>
      <c r="D35" s="25" t="n"/>
      <c r="E35" s="25" t="n"/>
      <c r="F35" s="25" t="n"/>
      <c r="G35" s="22">
        <f>G34+IF('1_Assumptions'!$B$109=1,G33,0)</f>
        <v/>
      </c>
      <c r="H35" s="22">
        <f>H34+IF('1_Assumptions'!$B$109=1,H33,0)</f>
        <v/>
      </c>
      <c r="I35" s="22">
        <f>I34+IF('1_Assumptions'!$B$109=1,I33,0)</f>
        <v/>
      </c>
      <c r="J35" s="22">
        <f>J34+IF('1_Assumptions'!$B$109=1,J33,0)</f>
        <v/>
      </c>
      <c r="K35" s="22">
        <f>K34+IF('1_Assumptions'!$B$109=1,K33,0)</f>
        <v/>
      </c>
    </row>
    <row r="36">
      <c r="A36" s="44" t="inlineStr">
        <is>
          <t>〔备查〕生效投入资本 IC</t>
        </is>
      </c>
      <c r="B36" s="25" t="n"/>
      <c r="C36" s="25" t="n"/>
      <c r="D36" s="25" t="n"/>
      <c r="E36" s="25" t="n"/>
      <c r="F36" s="25" t="n"/>
      <c r="G36" s="22">
        <f>G35</f>
        <v/>
      </c>
      <c r="H36" s="22">
        <f>H35</f>
        <v/>
      </c>
      <c r="I36" s="22">
        <f>I35</f>
        <v/>
      </c>
      <c r="J36" s="22">
        <f>J35</f>
        <v/>
      </c>
      <c r="K36" s="22">
        <f>K35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K3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Apple Inc. (AAPL) — CashFlow（百万美元，US GAAP）</t>
        </is>
      </c>
    </row>
    <row r="2">
      <c r="A2" s="3" t="inlineStr">
        <is>
          <t>B:F = 历史实际（斜体静态，来自 SEC EDGAR）　｜　G:K = 公式预测　｜　基数 = FY2025A（F 列）</t>
        </is>
      </c>
    </row>
    <row r="3">
      <c r="A3" s="17" t="inlineStr">
        <is>
          <t>注：历史列仅填报表已披露科目；营运资本明细变动、循环贷与股数滚动为模型专用行，历史留空。</t>
        </is>
      </c>
    </row>
    <row r="4">
      <c r="A4" s="4" t="inlineStr">
        <is>
          <t>CashFlow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11" t="inlineStr">
        <is>
          <t>科目（百万美元）</t>
        </is>
      </c>
      <c r="B5" s="43" t="inlineStr">
        <is>
          <t>FY2021A</t>
        </is>
      </c>
      <c r="C5" s="43" t="inlineStr">
        <is>
          <t>FY2022A</t>
        </is>
      </c>
      <c r="D5" s="43" t="inlineStr">
        <is>
          <t>FY2023A</t>
        </is>
      </c>
      <c r="E5" s="43" t="inlineStr">
        <is>
          <t>FY2024A</t>
        </is>
      </c>
      <c r="F5" s="43" t="inlineStr">
        <is>
          <t>FY2025A</t>
        </is>
      </c>
      <c r="G5" s="10" t="inlineStr">
        <is>
          <t>FY2026E</t>
        </is>
      </c>
      <c r="H5" s="10" t="inlineStr">
        <is>
          <t>FY2027E</t>
        </is>
      </c>
      <c r="I5" s="10" t="inlineStr">
        <is>
          <t>FY2028E</t>
        </is>
      </c>
      <c r="J5" s="10" t="inlineStr">
        <is>
          <t>FY2029E</t>
        </is>
      </c>
      <c r="K5" s="10" t="inlineStr">
        <is>
          <t>FY2030E</t>
        </is>
      </c>
    </row>
    <row r="6">
      <c r="A6" s="12" t="inlineStr">
        <is>
          <t>Net income 净利润</t>
        </is>
      </c>
      <c r="B6" s="25" t="n">
        <v>94680</v>
      </c>
      <c r="C6" s="25" t="n">
        <v>99803</v>
      </c>
      <c r="D6" s="25" t="n">
        <v>96995</v>
      </c>
      <c r="E6" s="25" t="n">
        <v>93736</v>
      </c>
      <c r="F6" s="25" t="n">
        <v>112010</v>
      </c>
      <c r="G6" s="39">
        <f>'2_Income'!G20</f>
        <v/>
      </c>
      <c r="H6" s="39">
        <f>'2_Income'!H20</f>
        <v/>
      </c>
      <c r="I6" s="39">
        <f>'2_Income'!I20</f>
        <v/>
      </c>
      <c r="J6" s="39">
        <f>'2_Income'!J20</f>
        <v/>
      </c>
      <c r="K6" s="39">
        <f>'2_Income'!K20</f>
        <v/>
      </c>
    </row>
    <row r="7">
      <c r="A7" s="12" t="inlineStr">
        <is>
          <t>+ Depreciation 折旧</t>
        </is>
      </c>
      <c r="B7" s="25" t="n">
        <v>9500</v>
      </c>
      <c r="C7" s="25" t="n">
        <v>8700</v>
      </c>
      <c r="D7" s="25" t="n">
        <v>8500</v>
      </c>
      <c r="E7" s="25" t="n">
        <v>8200</v>
      </c>
      <c r="F7" s="25" t="n">
        <v>8000</v>
      </c>
      <c r="G7" s="39">
        <f>'3_Balance'!F12*'1_Assumptions'!$B$59</f>
        <v/>
      </c>
      <c r="H7" s="39">
        <f>'3_Balance'!G12*'1_Assumptions'!$B$59</f>
        <v/>
      </c>
      <c r="I7" s="39">
        <f>'3_Balance'!H12*'1_Assumptions'!$B$59</f>
        <v/>
      </c>
      <c r="J7" s="39">
        <f>'3_Balance'!I12*'1_Assumptions'!$B$59</f>
        <v/>
      </c>
      <c r="K7" s="39">
        <f>'3_Balance'!J12*'1_Assumptions'!$B$59</f>
        <v/>
      </c>
    </row>
    <row r="8">
      <c r="A8" s="12" t="inlineStr">
        <is>
          <t>+ Amortization 无形摊销</t>
        </is>
      </c>
      <c r="B8" s="25" t="n">
        <v>1784</v>
      </c>
      <c r="C8" s="25" t="n">
        <v>2404</v>
      </c>
      <c r="D8" s="25" t="n">
        <v>3019</v>
      </c>
      <c r="E8" s="25" t="n">
        <v>3245</v>
      </c>
      <c r="F8" s="25" t="n">
        <v>3698</v>
      </c>
      <c r="G8" s="39">
        <f>'2_Income'!G6*'1_Assumptions'!$B$60</f>
        <v/>
      </c>
      <c r="H8" s="39">
        <f>'2_Income'!H6*'1_Assumptions'!$B$60</f>
        <v/>
      </c>
      <c r="I8" s="39">
        <f>'2_Income'!I6*'1_Assumptions'!$B$60</f>
        <v/>
      </c>
      <c r="J8" s="39">
        <f>'2_Income'!J6*'1_Assumptions'!$B$60</f>
        <v/>
      </c>
      <c r="K8" s="39">
        <f>'2_Income'!K6*'1_Assumptions'!$B$60</f>
        <v/>
      </c>
    </row>
    <row r="9">
      <c r="A9" s="12" t="inlineStr">
        <is>
          <t>+ SBC 股份支付</t>
        </is>
      </c>
      <c r="B9" s="25" t="n">
        <v>7906</v>
      </c>
      <c r="C9" s="25" t="n">
        <v>9038</v>
      </c>
      <c r="D9" s="25" t="n">
        <v>10833</v>
      </c>
      <c r="E9" s="25" t="n">
        <v>11688</v>
      </c>
      <c r="F9" s="25" t="n">
        <v>12863</v>
      </c>
      <c r="G9" s="39">
        <f>'2_Income'!G26</f>
        <v/>
      </c>
      <c r="H9" s="39">
        <f>'2_Income'!H26</f>
        <v/>
      </c>
      <c r="I9" s="39">
        <f>'2_Income'!I26</f>
        <v/>
      </c>
      <c r="J9" s="39">
        <f>'2_Income'!J26</f>
        <v/>
      </c>
      <c r="K9" s="39">
        <f>'2_Income'!K26</f>
        <v/>
      </c>
    </row>
    <row r="10">
      <c r="A10" s="12" t="inlineStr">
        <is>
          <t>− ΔAccounts receivable 应收增加</t>
        </is>
      </c>
      <c r="B10" s="25" t="n"/>
      <c r="C10" s="25" t="n"/>
      <c r="D10" s="25" t="n"/>
      <c r="E10" s="25" t="n"/>
      <c r="F10" s="25" t="n"/>
      <c r="G10" s="39">
        <f>-('3_Balance'!G8-'3_Balance'!F8)</f>
        <v/>
      </c>
      <c r="H10" s="39">
        <f>-('3_Balance'!H8-'3_Balance'!G8)</f>
        <v/>
      </c>
      <c r="I10" s="39">
        <f>-('3_Balance'!I8-'3_Balance'!H8)</f>
        <v/>
      </c>
      <c r="J10" s="39">
        <f>-('3_Balance'!J8-'3_Balance'!I8)</f>
        <v/>
      </c>
      <c r="K10" s="39">
        <f>-('3_Balance'!K8-'3_Balance'!J8)</f>
        <v/>
      </c>
    </row>
    <row r="11">
      <c r="A11" s="12" t="inlineStr">
        <is>
          <t>− ΔInventory 存货增加</t>
        </is>
      </c>
      <c r="B11" s="25" t="n"/>
      <c r="C11" s="25" t="n"/>
      <c r="D11" s="25" t="n"/>
      <c r="E11" s="25" t="n"/>
      <c r="F11" s="25" t="n"/>
      <c r="G11" s="39">
        <f>-('3_Balance'!G9-'3_Balance'!F9)</f>
        <v/>
      </c>
      <c r="H11" s="39">
        <f>-('3_Balance'!H9-'3_Balance'!G9)</f>
        <v/>
      </c>
      <c r="I11" s="39">
        <f>-('3_Balance'!I9-'3_Balance'!H9)</f>
        <v/>
      </c>
      <c r="J11" s="39">
        <f>-('3_Balance'!J9-'3_Balance'!I9)</f>
        <v/>
      </c>
      <c r="K11" s="39">
        <f>-('3_Balance'!K9-'3_Balance'!J9)</f>
        <v/>
      </c>
    </row>
    <row r="12">
      <c r="A12" s="12" t="inlineStr">
        <is>
          <t>− ΔOther current assets 其他流动资产增加</t>
        </is>
      </c>
      <c r="B12" s="25" t="n"/>
      <c r="C12" s="25" t="n"/>
      <c r="D12" s="25" t="n"/>
      <c r="E12" s="25" t="n"/>
      <c r="F12" s="25" t="n"/>
      <c r="G12" s="39">
        <f>-('3_Balance'!G10-'3_Balance'!F10)</f>
        <v/>
      </c>
      <c r="H12" s="39">
        <f>-('3_Balance'!H10-'3_Balance'!G10)</f>
        <v/>
      </c>
      <c r="I12" s="39">
        <f>-('3_Balance'!I10-'3_Balance'!H10)</f>
        <v/>
      </c>
      <c r="J12" s="39">
        <f>-('3_Balance'!J10-'3_Balance'!I10)</f>
        <v/>
      </c>
      <c r="K12" s="39">
        <f>-('3_Balance'!K10-'3_Balance'!J10)</f>
        <v/>
      </c>
    </row>
    <row r="13">
      <c r="A13" s="12" t="inlineStr">
        <is>
          <t>+ ΔAccounts payable 应付增加</t>
        </is>
      </c>
      <c r="B13" s="25" t="n"/>
      <c r="C13" s="25" t="n"/>
      <c r="D13" s="25" t="n"/>
      <c r="E13" s="25" t="n"/>
      <c r="F13" s="25" t="n"/>
      <c r="G13" s="39">
        <f>'3_Balance'!G20-'3_Balance'!F20</f>
        <v/>
      </c>
      <c r="H13" s="39">
        <f>'3_Balance'!H20-'3_Balance'!G20</f>
        <v/>
      </c>
      <c r="I13" s="39">
        <f>'3_Balance'!I20-'3_Balance'!H20</f>
        <v/>
      </c>
      <c r="J13" s="39">
        <f>'3_Balance'!J20-'3_Balance'!I20</f>
        <v/>
      </c>
      <c r="K13" s="39">
        <f>'3_Balance'!K20-'3_Balance'!J20</f>
        <v/>
      </c>
    </row>
    <row r="14">
      <c r="A14" s="12" t="inlineStr">
        <is>
          <t>+ ΔOther current liabilities 其他流动负债增加</t>
        </is>
      </c>
      <c r="B14" s="25" t="n"/>
      <c r="C14" s="25" t="n"/>
      <c r="D14" s="25" t="n"/>
      <c r="E14" s="25" t="n"/>
      <c r="F14" s="25" t="n"/>
      <c r="G14" s="39">
        <f>'3_Balance'!G22-'3_Balance'!F22</f>
        <v/>
      </c>
      <c r="H14" s="39">
        <f>'3_Balance'!H22-'3_Balance'!G22</f>
        <v/>
      </c>
      <c r="I14" s="39">
        <f>'3_Balance'!I22-'3_Balance'!H22</f>
        <v/>
      </c>
      <c r="J14" s="39">
        <f>'3_Balance'!J22-'3_Balance'!I22</f>
        <v/>
      </c>
      <c r="K14" s="39">
        <f>'3_Balance'!K22-'3_Balance'!J22</f>
        <v/>
      </c>
    </row>
    <row r="15">
      <c r="A15" s="44" t="inlineStr">
        <is>
          <t>Operating cash flow 经营活动现金流</t>
        </is>
      </c>
      <c r="B15" s="25" t="n">
        <v>104038</v>
      </c>
      <c r="C15" s="25" t="n">
        <v>122151</v>
      </c>
      <c r="D15" s="25" t="n">
        <v>110543</v>
      </c>
      <c r="E15" s="25" t="n">
        <v>118254</v>
      </c>
      <c r="F15" s="25" t="n">
        <v>111482</v>
      </c>
      <c r="G15" s="22">
        <f>SUM(G6:G14)</f>
        <v/>
      </c>
      <c r="H15" s="22">
        <f>SUM(H6:H14)</f>
        <v/>
      </c>
      <c r="I15" s="22">
        <f>SUM(I6:I14)</f>
        <v/>
      </c>
      <c r="J15" s="22">
        <f>SUM(J6:J14)</f>
        <v/>
      </c>
      <c r="K15" s="22">
        <f>SUM(K6:K14)</f>
        <v/>
      </c>
    </row>
    <row r="16">
      <c r="A16" s="12" t="inlineStr">
        <is>
          <t>− Capital expenditure 资本开支</t>
        </is>
      </c>
      <c r="B16" s="25" t="n">
        <v>-11085</v>
      </c>
      <c r="C16" s="25" t="n">
        <v>-10708</v>
      </c>
      <c r="D16" s="25" t="n">
        <v>-10959</v>
      </c>
      <c r="E16" s="25" t="n">
        <v>-9447</v>
      </c>
      <c r="F16" s="25" t="n">
        <v>-12715</v>
      </c>
      <c r="G16" s="39">
        <f>-'2_Income'!G6*'1_Assumptions'!$E$23-IF(AND('1_Assumptions'!$B$134&gt;0,1&gt;='1_Assumptions'!$B$133,1&lt;='1_Assumptions'!$B$133+2),'1_Assumptions'!$B$134/3,0)</f>
        <v/>
      </c>
      <c r="H16" s="39">
        <f>-'2_Income'!H6*'1_Assumptions'!$E$24-IF(AND('1_Assumptions'!$B$134&gt;0,2&gt;='1_Assumptions'!$B$133,2&lt;='1_Assumptions'!$B$133+2),'1_Assumptions'!$B$134/3,0)</f>
        <v/>
      </c>
      <c r="I16" s="39">
        <f>-'2_Income'!I6*'1_Assumptions'!$E$25-IF(AND('1_Assumptions'!$B$134&gt;0,3&gt;='1_Assumptions'!$B$133,3&lt;='1_Assumptions'!$B$133+2),'1_Assumptions'!$B$134/3,0)</f>
        <v/>
      </c>
      <c r="J16" s="39">
        <f>-'2_Income'!J6*'1_Assumptions'!$E$26-IF(AND('1_Assumptions'!$B$134&gt;0,4&gt;='1_Assumptions'!$B$133,4&lt;='1_Assumptions'!$B$133+2),'1_Assumptions'!$B$134/3,0)</f>
        <v/>
      </c>
      <c r="K16" s="39">
        <f>-'2_Income'!K6*'1_Assumptions'!$E$27-IF(AND('1_Assumptions'!$B$134&gt;0,5&gt;='1_Assumptions'!$B$133,5&lt;='1_Assumptions'!$B$133+2),'1_Assumptions'!$B$134/3,0)</f>
        <v/>
      </c>
    </row>
    <row r="17">
      <c r="A17" s="44" t="inlineStr">
        <is>
          <t>Investing cash flow 投资活动现金流</t>
        </is>
      </c>
      <c r="B17" s="25" t="n"/>
      <c r="C17" s="25" t="n"/>
      <c r="D17" s="25" t="n"/>
      <c r="E17" s="25" t="n"/>
      <c r="F17" s="25" t="n"/>
      <c r="G17" s="22">
        <f>G16</f>
        <v/>
      </c>
      <c r="H17" s="22">
        <f>H16</f>
        <v/>
      </c>
      <c r="I17" s="22">
        <f>I16</f>
        <v/>
      </c>
      <c r="J17" s="22">
        <f>J16</f>
        <v/>
      </c>
      <c r="K17" s="22">
        <f>K16</f>
        <v/>
      </c>
    </row>
    <row r="18">
      <c r="A18" s="44" t="inlineStr">
        <is>
          <t>Free cash flow (OCF − capex) 自由现金流</t>
        </is>
      </c>
      <c r="B18" s="25" t="n"/>
      <c r="C18" s="25" t="n"/>
      <c r="D18" s="25" t="n"/>
      <c r="E18" s="25" t="n"/>
      <c r="F18" s="25" t="n"/>
      <c r="G18" s="22">
        <f>G15+G16</f>
        <v/>
      </c>
      <c r="H18" s="22">
        <f>H15+H16</f>
        <v/>
      </c>
      <c r="I18" s="22">
        <f>I15+I16</f>
        <v/>
      </c>
      <c r="J18" s="22">
        <f>J15+J16</f>
        <v/>
      </c>
      <c r="K18" s="22">
        <f>K15+K16</f>
        <v/>
      </c>
    </row>
    <row r="19">
      <c r="A19" s="44" t="inlineStr">
        <is>
          <t>FCFF（无杠杆自由现金流）</t>
        </is>
      </c>
      <c r="B19" s="25" t="n"/>
      <c r="C19" s="25" t="n"/>
      <c r="D19" s="25" t="n"/>
      <c r="E19" s="25" t="n"/>
      <c r="F19" s="25" t="n"/>
      <c r="G19" s="22">
        <f>'2_Income'!G14*(1-'1_Assumptions'!$B$52)+G7+G8+IF('1_Assumptions'!$B$113=1,G9,0)+G16+SUM(G10:G14)</f>
        <v/>
      </c>
      <c r="H19" s="22">
        <f>'2_Income'!H14*(1-'1_Assumptions'!$B$52)+H7+H8+IF('1_Assumptions'!$B$113=1,H9,0)+H16+SUM(H10:H14)</f>
        <v/>
      </c>
      <c r="I19" s="22">
        <f>'2_Income'!I14*(1-'1_Assumptions'!$B$52)+I7+I8+IF('1_Assumptions'!$B$113=1,I9,0)+I16+SUM(I10:I14)</f>
        <v/>
      </c>
      <c r="J19" s="22">
        <f>'2_Income'!J14*(1-'1_Assumptions'!$B$52)+J7+J8+IF('1_Assumptions'!$B$113=1,J9,0)+J16+SUM(J10:J14)</f>
        <v/>
      </c>
      <c r="K19" s="22">
        <f>'2_Income'!K14*(1-'1_Assumptions'!$B$52)+K7+K8+IF('1_Assumptions'!$B$113=1,K9,0)+K16+SUM(K10:K14)</f>
        <v/>
      </c>
    </row>
    <row r="20">
      <c r="A20" s="12" t="inlineStr">
        <is>
          <t>− Dividends 分红</t>
        </is>
      </c>
      <c r="B20" s="25" t="n">
        <v>-14467</v>
      </c>
      <c r="C20" s="25" t="n">
        <v>-14841</v>
      </c>
      <c r="D20" s="25" t="n">
        <v>-15025</v>
      </c>
      <c r="E20" s="25" t="n">
        <v>-15234</v>
      </c>
      <c r="F20" s="25" t="n">
        <v>-15421</v>
      </c>
      <c r="G20" s="39">
        <f>-'2_Income'!G22*'1_Assumptions'!$B$63</f>
        <v/>
      </c>
      <c r="H20" s="39">
        <f>-'2_Income'!H22*'1_Assumptions'!$B$63</f>
        <v/>
      </c>
      <c r="I20" s="39">
        <f>-'2_Income'!I22*'1_Assumptions'!$B$63</f>
        <v/>
      </c>
      <c r="J20" s="39">
        <f>-'2_Income'!J22*'1_Assumptions'!$B$63</f>
        <v/>
      </c>
      <c r="K20" s="39">
        <f>-'2_Income'!K22*'1_Assumptions'!$B$63</f>
        <v/>
      </c>
    </row>
    <row r="21">
      <c r="A21" s="12" t="inlineStr">
        <is>
          <t>− Share repurchase 回购</t>
        </is>
      </c>
      <c r="B21" s="25" t="n">
        <v>-85971</v>
      </c>
      <c r="C21" s="25" t="n">
        <v>-89402</v>
      </c>
      <c r="D21" s="25" t="n">
        <v>-77550</v>
      </c>
      <c r="E21" s="25" t="n">
        <v>-94949</v>
      </c>
      <c r="F21" s="25" t="n">
        <v>-90711</v>
      </c>
      <c r="G21" s="39">
        <f>-'2_Income'!G6*'1_Assumptions'!$B$128</f>
        <v/>
      </c>
      <c r="H21" s="39">
        <f>-'2_Income'!H6*'1_Assumptions'!$B$128</f>
        <v/>
      </c>
      <c r="I21" s="39">
        <f>-'2_Income'!I6*'1_Assumptions'!$B$128</f>
        <v/>
      </c>
      <c r="J21" s="39">
        <f>-'2_Income'!J6*'1_Assumptions'!$B$128</f>
        <v/>
      </c>
      <c r="K21" s="39">
        <f>-'2_Income'!K6*'1_Assumptions'!$B$128</f>
        <v/>
      </c>
    </row>
    <row r="22">
      <c r="A22" s="12" t="inlineStr">
        <is>
          <t>+ Equity issuance 增发募资净额</t>
        </is>
      </c>
      <c r="B22" s="25" t="n"/>
      <c r="C22" s="25" t="n"/>
      <c r="D22" s="25" t="n"/>
      <c r="E22" s="25" t="n"/>
      <c r="F22" s="25" t="n"/>
      <c r="G22" s="39">
        <f>IF('1_Assumptions'!$B$133=1,'1_Assumptions'!$B$135,0)</f>
        <v/>
      </c>
      <c r="H22" s="39">
        <f>IF('1_Assumptions'!$B$133=2,'1_Assumptions'!$B$135,0)</f>
        <v/>
      </c>
      <c r="I22" s="39">
        <f>IF('1_Assumptions'!$B$133=3,'1_Assumptions'!$B$135,0)</f>
        <v/>
      </c>
      <c r="J22" s="39">
        <f>IF('1_Assumptions'!$B$133=4,'1_Assumptions'!$B$135,0)</f>
        <v/>
      </c>
      <c r="K22" s="39">
        <f>IF('1_Assumptions'!$B$133=5,'1_Assumptions'!$B$135,0)</f>
        <v/>
      </c>
    </row>
    <row r="23">
      <c r="A23" s="12" t="inlineStr">
        <is>
          <t>+ Revolver 循环贷净变动</t>
        </is>
      </c>
      <c r="B23" s="25" t="n"/>
      <c r="C23" s="25" t="n"/>
      <c r="D23" s="25" t="n"/>
      <c r="E23" s="25" t="n"/>
      <c r="F23" s="25" t="n"/>
      <c r="G23" s="39">
        <f>IF(G26&lt;'1_Assumptions'!$B$64,'1_Assumptions'!$B$64-G26,IF(AND(G26&gt;'1_Assumptions'!$B$64+'1_Assumptions'!$B$65,'3_Balance'!F18&gt;0),-MIN('3_Balance'!F18,G26-('1_Assumptions'!$B$64+'1_Assumptions'!$B$65)),0))</f>
        <v/>
      </c>
      <c r="H23" s="39">
        <f>IF(H26&lt;'1_Assumptions'!$B$64,'1_Assumptions'!$B$64-H26,IF(AND(H26&gt;'1_Assumptions'!$B$64+'1_Assumptions'!$B$65,'3_Balance'!G18&gt;0),-MIN('3_Balance'!G18,H26-('1_Assumptions'!$B$64+'1_Assumptions'!$B$65)),0))</f>
        <v/>
      </c>
      <c r="I23" s="39">
        <f>IF(I26&lt;'1_Assumptions'!$B$64,'1_Assumptions'!$B$64-I26,IF(AND(I26&gt;'1_Assumptions'!$B$64+'1_Assumptions'!$B$65,'3_Balance'!H18&gt;0),-MIN('3_Balance'!H18,I26-('1_Assumptions'!$B$64+'1_Assumptions'!$B$65)),0))</f>
        <v/>
      </c>
      <c r="J23" s="39">
        <f>IF(J26&lt;'1_Assumptions'!$B$64,'1_Assumptions'!$B$64-J26,IF(AND(J26&gt;'1_Assumptions'!$B$64+'1_Assumptions'!$B$65,'3_Balance'!I18&gt;0),-MIN('3_Balance'!I18,J26-('1_Assumptions'!$B$64+'1_Assumptions'!$B$65)),0))</f>
        <v/>
      </c>
      <c r="K23" s="39">
        <f>IF(K26&lt;'1_Assumptions'!$B$64,'1_Assumptions'!$B$64-K26,IF(AND(K26&gt;'1_Assumptions'!$B$64+'1_Assumptions'!$B$65,'3_Balance'!J18&gt;0),-MIN('3_Balance'!J18,K26-('1_Assumptions'!$B$64+'1_Assumptions'!$B$65)),0))</f>
        <v/>
      </c>
    </row>
    <row r="24">
      <c r="A24" s="44" t="inlineStr">
        <is>
          <t>Financing cash flow 筹资活动现金流</t>
        </is>
      </c>
      <c r="B24" s="25" t="n"/>
      <c r="C24" s="25" t="n"/>
      <c r="D24" s="25" t="n"/>
      <c r="E24" s="25" t="n"/>
      <c r="F24" s="25" t="n"/>
      <c r="G24" s="22">
        <f>SUM(G20:G23)</f>
        <v/>
      </c>
      <c r="H24" s="22">
        <f>SUM(H20:H23)</f>
        <v/>
      </c>
      <c r="I24" s="22">
        <f>SUM(I20:I23)</f>
        <v/>
      </c>
      <c r="J24" s="22">
        <f>SUM(J20:J23)</f>
        <v/>
      </c>
      <c r="K24" s="22">
        <f>SUM(K20:K23)</f>
        <v/>
      </c>
    </row>
    <row r="25">
      <c r="A25" s="44" t="inlineStr">
        <is>
          <t>Net change in cash 现金净增加</t>
        </is>
      </c>
      <c r="B25" s="25" t="n"/>
      <c r="C25" s="25" t="n"/>
      <c r="D25" s="25" t="n"/>
      <c r="E25" s="25" t="n"/>
      <c r="F25" s="25" t="n"/>
      <c r="G25" s="22">
        <f>G15+G17+G24</f>
        <v/>
      </c>
      <c r="H25" s="22">
        <f>H15+H17+H24</f>
        <v/>
      </c>
      <c r="I25" s="22">
        <f>I15+I17+I24</f>
        <v/>
      </c>
      <c r="J25" s="22">
        <f>J15+J17+J24</f>
        <v/>
      </c>
      <c r="K25" s="22">
        <f>K15+K17+K24</f>
        <v/>
      </c>
    </row>
    <row r="26">
      <c r="A26" s="12" t="inlineStr">
        <is>
          <t>（辅助）筹资前现金余额</t>
        </is>
      </c>
      <c r="B26" s="25" t="n"/>
      <c r="C26" s="25" t="n"/>
      <c r="D26" s="25" t="n"/>
      <c r="E26" s="25" t="n"/>
      <c r="F26" s="25" t="n"/>
      <c r="G26" s="39">
        <f>F27+G15+G17+G20+G21+G22</f>
        <v/>
      </c>
      <c r="H26" s="39">
        <f>G27+H15+H17+H20+H21+H22</f>
        <v/>
      </c>
      <c r="I26" s="39">
        <f>H27+I15+I17+I20+I21+I22</f>
        <v/>
      </c>
      <c r="J26" s="39">
        <f>I27+J15+J17+J20+J21+J22</f>
        <v/>
      </c>
      <c r="K26" s="39">
        <f>J27+K15+K17+K20+K21+K22</f>
        <v/>
      </c>
    </row>
    <row r="27">
      <c r="A27" s="44" t="inlineStr">
        <is>
          <t>Ending cash 期末现金</t>
        </is>
      </c>
      <c r="B27" s="25" t="n">
        <v>34940</v>
      </c>
      <c r="C27" s="25" t="n">
        <v>23646</v>
      </c>
      <c r="D27" s="25" t="n">
        <v>29965</v>
      </c>
      <c r="E27" s="25" t="n">
        <v>29943</v>
      </c>
      <c r="F27" s="25" t="n">
        <v>35934</v>
      </c>
      <c r="G27" s="22">
        <f>F27+G25</f>
        <v/>
      </c>
      <c r="H27" s="22">
        <f>G27+H25</f>
        <v/>
      </c>
      <c r="I27" s="22">
        <f>H27+I25</f>
        <v/>
      </c>
      <c r="J27" s="22">
        <f>I27+J25</f>
        <v/>
      </c>
      <c r="K27" s="22">
        <f>J27+K25</f>
        <v/>
      </c>
    </row>
    <row r="28">
      <c r="A28" s="12" t="inlineStr">
        <is>
          <t xml:space="preserve">  回购股数（百万股）</t>
        </is>
      </c>
      <c r="B28" s="25" t="n"/>
      <c r="C28" s="25" t="n"/>
      <c r="D28" s="25" t="n"/>
      <c r="E28" s="25" t="n"/>
      <c r="F28" s="25" t="n"/>
      <c r="G28" s="39">
        <f>-G21/'1_Assumptions'!$B$129</f>
        <v/>
      </c>
      <c r="H28" s="39">
        <f>-H21/'1_Assumptions'!$B$129</f>
        <v/>
      </c>
      <c r="I28" s="39">
        <f>-I21/'1_Assumptions'!$B$129</f>
        <v/>
      </c>
      <c r="J28" s="39">
        <f>-J21/'1_Assumptions'!$B$129</f>
        <v/>
      </c>
      <c r="K28" s="39">
        <f>-K21/'1_Assumptions'!$B$129</f>
        <v/>
      </c>
    </row>
    <row r="29">
      <c r="A29" s="12" t="inlineStr">
        <is>
          <t xml:space="preserve">  SBC 增发股数（仅在加回口径下）</t>
        </is>
      </c>
      <c r="B29" s="25" t="n"/>
      <c r="C29" s="25" t="n"/>
      <c r="D29" s="25" t="n"/>
      <c r="E29" s="25" t="n"/>
      <c r="F29" s="25" t="n"/>
      <c r="G29" s="39">
        <f>IF('1_Assumptions'!$B$113=1,'2_Income'!G26/'1_Assumptions'!$B$129,0)</f>
        <v/>
      </c>
      <c r="H29" s="39">
        <f>IF('1_Assumptions'!$B$113=1,'2_Income'!H26/'1_Assumptions'!$B$129,0)</f>
        <v/>
      </c>
      <c r="I29" s="39">
        <f>IF('1_Assumptions'!$B$113=1,'2_Income'!I26/'1_Assumptions'!$B$129,0)</f>
        <v/>
      </c>
      <c r="J29" s="39">
        <f>IF('1_Assumptions'!$B$113=1,'2_Income'!J26/'1_Assumptions'!$B$129,0)</f>
        <v/>
      </c>
      <c r="K29" s="39">
        <f>IF('1_Assumptions'!$B$113=1,'2_Income'!K26/'1_Assumptions'!$B$129,0)</f>
        <v/>
      </c>
    </row>
    <row r="30">
      <c r="A30" s="44" t="inlineStr">
        <is>
          <t>Diluted shares 摊薄股数（滚动）</t>
        </is>
      </c>
      <c r="B30" s="25" t="n">
        <v>16864.92</v>
      </c>
      <c r="C30" s="25" t="n">
        <v>16325.82</v>
      </c>
      <c r="D30" s="25" t="n">
        <v>15812.55</v>
      </c>
      <c r="E30" s="25" t="n">
        <v>15408.09</v>
      </c>
      <c r="F30" s="25" t="n">
        <v>15004.7</v>
      </c>
      <c r="G30" s="22">
        <f>'1_Assumptions'!$B$88-G28+G29+IF('1_Assumptions'!$B$133=1,'1_Assumptions'!$B$130,0)</f>
        <v/>
      </c>
      <c r="H30" s="22">
        <f>G30-H28+H29+IF('1_Assumptions'!$B$133=2,'1_Assumptions'!$B$130,0)</f>
        <v/>
      </c>
      <c r="I30" s="22">
        <f>H30-I28+I29+IF('1_Assumptions'!$B$133=3,'1_Assumptions'!$B$130,0)</f>
        <v/>
      </c>
      <c r="J30" s="22">
        <f>I30-J28+J29+IF('1_Assumptions'!$B$133=4,'1_Assumptions'!$B$130,0)</f>
        <v/>
      </c>
      <c r="K30" s="22">
        <f>J30-K28+K29+IF('1_Assumptions'!$B$133=5,'1_Assumptions'!$B$130,0)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78" customWidth="1" min="8" max="8"/>
  </cols>
  <sheetData>
    <row r="1">
      <c r="A1" s="1" t="inlineStr">
        <is>
          <t>Apple Inc. (AAPL) — DCF 估值（全公式，百万美元）</t>
        </is>
      </c>
    </row>
    <row r="2">
      <c r="A2" s="51" t="inlineStr">
        <is>
          <t>绿色单元格链接自「1_Assumptions」，改假设本页自动重算</t>
        </is>
      </c>
    </row>
    <row r="4">
      <c r="A4" s="4" t="inlineStr">
        <is>
          <t>一、折现率 WACC</t>
        </is>
      </c>
      <c r="B4" s="5" t="n"/>
      <c r="C4" s="5" t="n"/>
      <c r="D4" s="5" t="n"/>
      <c r="E4" s="5" t="n"/>
      <c r="F4" s="5" t="n"/>
      <c r="G4" s="5" t="n"/>
    </row>
    <row r="5">
      <c r="A5" s="12" t="inlineStr">
        <is>
          <t>无风险利率 Rf（10Y UST）</t>
        </is>
      </c>
      <c r="B5" s="36">
        <f>'1_Assumptions'!B94</f>
        <v/>
      </c>
    </row>
    <row r="6">
      <c r="A6" s="12" t="inlineStr">
        <is>
          <t>股权风险溢价 ERP</t>
        </is>
      </c>
      <c r="B6" s="36">
        <f>'1_Assumptions'!B95</f>
        <v/>
      </c>
    </row>
    <row r="7">
      <c r="A7" s="12" t="inlineStr">
        <is>
          <t>Beta（5年 + Blume）</t>
        </is>
      </c>
      <c r="B7" s="52">
        <f>'1_Assumptions'!B96</f>
        <v/>
      </c>
    </row>
    <row r="8">
      <c r="A8" s="44" t="inlineStr">
        <is>
          <t>股权成本 Ke = Rf + β×ERP</t>
        </is>
      </c>
      <c r="B8" s="37">
        <f>B5+B7*B6</f>
        <v/>
      </c>
    </row>
    <row r="9">
      <c r="A9" s="12" t="inlineStr">
        <is>
          <t>信用评级（合成，可覆盖）</t>
        </is>
      </c>
      <c r="B9" s="53">
        <f>'1_Assumptions'!B98</f>
        <v/>
      </c>
      <c r="H9" s="17" t="inlineStr">
        <is>
          <t>Altman Z 推导的默认值；已知实际 S&amp;P 评级时请在假设页直接改</t>
        </is>
      </c>
    </row>
    <row r="10">
      <c r="A10" s="12" t="inlineStr">
        <is>
          <t>信用利差</t>
        </is>
      </c>
      <c r="B10" s="36">
        <f>'1_Assumptions'!B99</f>
        <v/>
      </c>
      <c r="H10" s="17" t="inlineStr">
        <is>
          <t>ICE BofA AAA OAS（FRED BAMLC0A1CAAA，2026-09-09）</t>
        </is>
      </c>
    </row>
    <row r="11">
      <c r="A11" s="44" t="inlineStr">
        <is>
          <t>债务成本 Kd = Rf + 信用利差</t>
        </is>
      </c>
      <c r="B11" s="37">
        <f>B5+B10</f>
        <v/>
      </c>
      <c r="H11" s="17" t="inlineStr">
        <is>
          <t>课程 Ch.4：kd = 无风险利率 + 国家违约利差 + 公司违约利差（美国视为无国家违约利差）</t>
        </is>
      </c>
    </row>
    <row r="12">
      <c r="A12" s="12" t="inlineStr">
        <is>
          <t>有效所得税率 t</t>
        </is>
      </c>
      <c r="B12" s="36">
        <f>'1_Assumptions'!B52</f>
        <v/>
      </c>
    </row>
    <row r="13">
      <c r="A13" s="12" t="inlineStr">
        <is>
          <t>债务权重 D/(D+E)</t>
        </is>
      </c>
      <c r="B13" s="36">
        <f>'1_Assumptions'!B101</f>
        <v/>
      </c>
    </row>
    <row r="14">
      <c r="A14" s="44" t="inlineStr">
        <is>
          <t>WACC</t>
        </is>
      </c>
      <c r="B14" s="37">
        <f>(1-B13)*B8+B13*B11*(1-B12)</f>
        <v/>
      </c>
    </row>
    <row r="15">
      <c r="A15" s="12" t="inlineStr">
        <is>
          <t>永续增长率 g</t>
        </is>
      </c>
      <c r="B15" s="36">
        <f>'1_Assumptions'!B103</f>
        <v/>
      </c>
      <c r="H15" s="17" t="inlineStr">
        <is>
          <t>Damodaran 规则：g ≤ Rf。当前 Rf 见上方第 1 行</t>
        </is>
      </c>
    </row>
    <row r="16">
      <c r="A16" s="12" t="inlineStr">
        <is>
          <t>期中折现开关</t>
        </is>
      </c>
      <c r="B16" s="54">
        <f>'1_Assumptions'!B105</f>
        <v/>
      </c>
    </row>
    <row r="17">
      <c r="A17" s="12" t="inlineStr">
        <is>
          <t>SBC 加回开关（0=费用化 1=加回）</t>
        </is>
      </c>
      <c r="B17" s="54">
        <f>'1_Assumptions'!B113</f>
        <v/>
      </c>
      <c r="H17" s="17" t="inlineStr">
        <is>
          <t>0 = Damodaran（默认）：SBC 是真实成本，不加回；股数也不因 SBC 摊薄</t>
        </is>
      </c>
    </row>
    <row r="19">
      <c r="A19" s="4" t="inlineStr">
        <is>
          <t>二、自由现金流 FCFF 与现值</t>
        </is>
      </c>
      <c r="B19" s="5" t="n"/>
      <c r="C19" s="5" t="n"/>
      <c r="D19" s="5" t="n"/>
      <c r="E19" s="5" t="n"/>
      <c r="F19" s="5" t="n"/>
      <c r="G19" s="5" t="n"/>
    </row>
    <row r="20">
      <c r="A20" s="11" t="inlineStr">
        <is>
          <t>科目（百万美元）</t>
        </is>
      </c>
      <c r="B20" s="10" t="inlineStr">
        <is>
          <t>FY2026E</t>
        </is>
      </c>
      <c r="C20" s="10" t="inlineStr">
        <is>
          <t>FY2027E</t>
        </is>
      </c>
      <c r="D20" s="10" t="inlineStr">
        <is>
          <t>FY2028E</t>
        </is>
      </c>
      <c r="E20" s="10" t="inlineStr">
        <is>
          <t>FY2029E</t>
        </is>
      </c>
      <c r="F20" s="10" t="inlineStr">
        <is>
          <t>FY2030E</t>
        </is>
      </c>
    </row>
    <row r="21">
      <c r="A21" s="12" t="inlineStr">
        <is>
          <t>EBIT（= Operating income）</t>
        </is>
      </c>
      <c r="B21" s="39">
        <f>'2_Income'!G14</f>
        <v/>
      </c>
      <c r="C21" s="39">
        <f>'2_Income'!H14</f>
        <v/>
      </c>
      <c r="D21" s="39">
        <f>'2_Income'!I14</f>
        <v/>
      </c>
      <c r="E21" s="39">
        <f>'2_Income'!J14</f>
        <v/>
      </c>
      <c r="F21" s="39">
        <f>'2_Income'!K14</f>
        <v/>
      </c>
    </row>
    <row r="22">
      <c r="A22" s="12" t="inlineStr">
        <is>
          <t>EBIT × (1 − t)</t>
        </is>
      </c>
      <c r="B22" s="39">
        <f>B21*(1-$B$12)</f>
        <v/>
      </c>
      <c r="C22" s="39">
        <f>C21*(1-$B$12)</f>
        <v/>
      </c>
      <c r="D22" s="39">
        <f>D21*(1-$B$12)</f>
        <v/>
      </c>
      <c r="E22" s="39">
        <f>E21*(1-$B$12)</f>
        <v/>
      </c>
      <c r="F22" s="39">
        <f>F21*(1-$B$12)</f>
        <v/>
      </c>
    </row>
    <row r="23">
      <c r="A23" s="12" t="inlineStr">
        <is>
          <t>+ 折旧</t>
        </is>
      </c>
      <c r="B23" s="39">
        <f>'4_CashFlow'!G7</f>
        <v/>
      </c>
      <c r="C23" s="39">
        <f>'4_CashFlow'!H7</f>
        <v/>
      </c>
      <c r="D23" s="39">
        <f>'4_CashFlow'!I7</f>
        <v/>
      </c>
      <c r="E23" s="39">
        <f>'4_CashFlow'!J7</f>
        <v/>
      </c>
      <c r="F23" s="39">
        <f>'4_CashFlow'!K7</f>
        <v/>
      </c>
    </row>
    <row r="24">
      <c r="A24" s="12" t="inlineStr">
        <is>
          <t>+ 无形摊销</t>
        </is>
      </c>
      <c r="B24" s="39">
        <f>'4_CashFlow'!G8</f>
        <v/>
      </c>
      <c r="C24" s="39">
        <f>'4_CashFlow'!H8</f>
        <v/>
      </c>
      <c r="D24" s="39">
        <f>'4_CashFlow'!I8</f>
        <v/>
      </c>
      <c r="E24" s="39">
        <f>'4_CashFlow'!J8</f>
        <v/>
      </c>
      <c r="F24" s="39">
        <f>'4_CashFlow'!K8</f>
        <v/>
      </c>
    </row>
    <row r="25">
      <c r="A25" s="12" t="inlineStr">
        <is>
          <t>+ SBC（仅在加回口径下）</t>
        </is>
      </c>
      <c r="B25" s="39">
        <f>IF($B$17=1,'4_CashFlow'!G9,0)</f>
        <v/>
      </c>
      <c r="C25" s="39">
        <f>IF($B$17=1,'4_CashFlow'!H9,0)</f>
        <v/>
      </c>
      <c r="D25" s="39">
        <f>IF($B$17=1,'4_CashFlow'!I9,0)</f>
        <v/>
      </c>
      <c r="E25" s="39">
        <f>IF($B$17=1,'4_CashFlow'!J9,0)</f>
        <v/>
      </c>
      <c r="F25" s="39">
        <f>IF($B$17=1,'4_CashFlow'!K9,0)</f>
        <v/>
      </c>
      <c r="H25" s="17" t="inlineStr">
        <is>
          <t>默认 0。加回会同时打开股数的 SBC 摊薄 —— 两件事绑在一起</t>
        </is>
      </c>
    </row>
    <row r="26">
      <c r="A26" s="12" t="inlineStr">
        <is>
          <t>− 资本开支</t>
        </is>
      </c>
      <c r="B26" s="39">
        <f>'4_CashFlow'!G16</f>
        <v/>
      </c>
      <c r="C26" s="39">
        <f>'4_CashFlow'!H16</f>
        <v/>
      </c>
      <c r="D26" s="39">
        <f>'4_CashFlow'!I16</f>
        <v/>
      </c>
      <c r="E26" s="39">
        <f>'4_CashFlow'!J16</f>
        <v/>
      </c>
      <c r="F26" s="39">
        <f>'4_CashFlow'!K16</f>
        <v/>
      </c>
    </row>
    <row r="27">
      <c r="A27" s="12" t="inlineStr">
        <is>
          <t>营运资本变动（现金影响）</t>
        </is>
      </c>
      <c r="B27" s="39">
        <f>SUM('4_CashFlow'!G10:G14)</f>
        <v/>
      </c>
      <c r="C27" s="39">
        <f>SUM('4_CashFlow'!H10:H14)</f>
        <v/>
      </c>
      <c r="D27" s="39">
        <f>SUM('4_CashFlow'!I10:I14)</f>
        <v/>
      </c>
      <c r="E27" s="39">
        <f>SUM('4_CashFlow'!J10:J14)</f>
        <v/>
      </c>
      <c r="F27" s="39">
        <f>SUM('4_CashFlow'!K10:K14)</f>
        <v/>
      </c>
    </row>
    <row r="28">
      <c r="A28" s="44" t="inlineStr">
        <is>
          <t>FCFF</t>
        </is>
      </c>
      <c r="B28" s="22">
        <f>B22+B23+B24+B25+B26+B27</f>
        <v/>
      </c>
      <c r="C28" s="22">
        <f>C22+C23+C24+C25+C26+C27</f>
        <v/>
      </c>
      <c r="D28" s="22">
        <f>D22+D23+D24+D25+D26+D27</f>
        <v/>
      </c>
      <c r="E28" s="22">
        <f>E22+E23+E24+E25+E26+E27</f>
        <v/>
      </c>
      <c r="F28" s="22">
        <f>F22+F23+F24+F25+F26+F27</f>
        <v/>
      </c>
    </row>
    <row r="29">
      <c r="A29" s="12" t="inlineStr">
        <is>
          <t>折现年数 t</t>
        </is>
      </c>
      <c r="B29" s="55" t="n">
        <v>1</v>
      </c>
      <c r="C29" s="55" t="n">
        <v>2</v>
      </c>
      <c r="D29" s="55" t="n">
        <v>3</v>
      </c>
      <c r="E29" s="55" t="n">
        <v>4</v>
      </c>
      <c r="F29" s="55" t="n">
        <v>5</v>
      </c>
    </row>
    <row r="30">
      <c r="A30" s="12" t="inlineStr">
        <is>
          <t>折现因子</t>
        </is>
      </c>
      <c r="B30" s="56">
        <f>1/(1+$B$14)^(B29-0.5*$B$16)</f>
        <v/>
      </c>
      <c r="C30" s="56">
        <f>1/(1+$B$14)^(C29-0.5*$B$16)</f>
        <v/>
      </c>
      <c r="D30" s="56">
        <f>1/(1+$B$14)^(D29-0.5*$B$16)</f>
        <v/>
      </c>
      <c r="E30" s="56">
        <f>1/(1+$B$14)^(E29-0.5*$B$16)</f>
        <v/>
      </c>
      <c r="F30" s="56">
        <f>1/(1+$B$14)^(F29-0.5*$B$16)</f>
        <v/>
      </c>
    </row>
    <row r="31">
      <c r="A31" s="44" t="inlineStr">
        <is>
          <t>FCFF 现值</t>
        </is>
      </c>
      <c r="B31" s="22">
        <f>B28*B30</f>
        <v/>
      </c>
      <c r="C31" s="22">
        <f>C28*C30</f>
        <v/>
      </c>
      <c r="D31" s="22">
        <f>D28*D30</f>
        <v/>
      </c>
      <c r="E31" s="22">
        <f>E28*E30</f>
        <v/>
      </c>
      <c r="F31" s="22">
        <f>F28*F30</f>
        <v/>
      </c>
    </row>
    <row r="33">
      <c r="A33" s="4" t="inlineStr">
        <is>
          <t>三、终值（Damodaran 一致性：稳态再投资率 = g / ROIC）</t>
        </is>
      </c>
      <c r="B33" s="5" t="n"/>
      <c r="C33" s="5" t="n"/>
      <c r="D33" s="5" t="n"/>
      <c r="E33" s="5" t="n"/>
      <c r="F33" s="5" t="n"/>
      <c r="G33" s="5" t="n"/>
    </row>
    <row r="34">
      <c r="A34" s="12" t="inlineStr">
        <is>
          <t>终值所得税率 t_term</t>
        </is>
      </c>
      <c r="B34" s="36">
        <f>'1_Assumptions'!B104</f>
        <v/>
      </c>
      <c r="H34" s="17" t="inlineStr">
        <is>
          <t>美国联邦法定 21%；永续期不应假设税收优惠永存</t>
        </is>
      </c>
    </row>
    <row r="35">
      <c r="A35" s="12" t="inlineStr">
        <is>
          <t>FY2030E EBIT</t>
        </is>
      </c>
      <c r="B35" s="39">
        <f>F21</f>
        <v/>
      </c>
    </row>
    <row r="36">
      <c r="A36" s="12" t="inlineStr">
        <is>
          <t>FY2030E 营运资本 NWC</t>
        </is>
      </c>
      <c r="B36" s="39">
        <f>'3_Balance'!K31</f>
        <v/>
      </c>
    </row>
    <row r="37">
      <c r="A37" s="12" t="inlineStr">
        <is>
          <t>FY2030E 固定资产净额</t>
        </is>
      </c>
      <c r="B37" s="39">
        <f>'3_Balance'!K12</f>
        <v/>
      </c>
    </row>
    <row r="38">
      <c r="A38" s="12" t="inlineStr">
        <is>
          <t>FY2030E 商誉与无形资产</t>
        </is>
      </c>
      <c r="B38" s="39">
        <f>'3_Balance'!K14</f>
        <v/>
      </c>
    </row>
    <row r="39">
      <c r="A39" s="12" t="inlineStr">
        <is>
          <t>FY2030E 其他非流动资产 − 其他非流动负债</t>
        </is>
      </c>
      <c r="B39" s="39">
        <f>'3_Balance'!K15-'3_Balance'!K23</f>
        <v/>
      </c>
    </row>
    <row r="40">
      <c r="A40" s="44" t="inlineStr">
        <is>
          <t>投入资本 IC（申报口径）</t>
        </is>
      </c>
      <c r="B40" s="22">
        <f>B36+B37+B38+B39</f>
        <v/>
      </c>
      <c r="H40" s="17" t="inlineStr">
        <is>
          <t>口径：营运资本 + 固定资产 + 商誉无形 + 其他非流动资产 − 其他非流动负债。旧版只算「营运资本 + 固定资产」，对美股大盘会崩：AAPL 营运资本 −520 亿、商誉无形与其他非流动资产未计入 → IC = −22 亿 → ROIC −4760%，终值被迫降级。本式等价于融资端「有息债务 + 全部权益 − 现金 − 短投 − 长投」；两侧恒等（同一恒等式的重排），属口径自洽性展示，不是独立检错</t>
        </is>
      </c>
    </row>
    <row r="41">
      <c r="A41" s="12" t="inlineStr">
        <is>
          <t>FY2030E 研发资本（Damodaran）</t>
        </is>
      </c>
      <c r="B41" s="39">
        <f>'3_Balance'!K33</f>
        <v/>
      </c>
      <c r="H41" s="17" t="inlineStr">
        <is>
          <t>报表外调整项：不进资产总计，只用于投入资本与 ROIC</t>
        </is>
      </c>
    </row>
    <row r="42">
      <c r="A42" s="44" t="inlineStr">
        <is>
          <t>生效投入资本 IC</t>
        </is>
      </c>
      <c r="B42" s="22">
        <f>B40+IF('1_Assumptions'!$B$109=1,B41,0)</f>
        <v/>
      </c>
    </row>
    <row r="43">
      <c r="A43" s="12" t="inlineStr">
        <is>
          <t>终值 ROIC（计算值）</t>
        </is>
      </c>
      <c r="B43" s="19">
        <f>B35*(1-B34)/B42</f>
        <v/>
      </c>
      <c r="H43" s="17" t="inlineStr">
        <is>
          <t>把末年超额回报直接永续化</t>
        </is>
      </c>
    </row>
    <row r="44">
      <c r="A44" s="12" t="inlineStr">
        <is>
          <t>终值 ROIC（收敛口径）</t>
        </is>
      </c>
      <c r="B44" s="19">
        <f>B14+'1_Assumptions'!$B$112</f>
        <v/>
      </c>
      <c r="H44" s="17" t="inlineStr">
        <is>
          <t>竞争终将侵蚀超额回报：终值 ROIC = WACC + 溢价</t>
        </is>
      </c>
    </row>
    <row r="45">
      <c r="A45" s="44" t="inlineStr">
        <is>
          <t>终值 ROIC（生效）</t>
        </is>
      </c>
      <c r="B45" s="37">
        <f>IF('1_Assumptions'!$B$111=2,B44,B43)</f>
        <v/>
      </c>
      <c r="H45" s="17" t="inlineStr">
        <is>
          <t>必须可持续，否则终值不成立</t>
        </is>
      </c>
    </row>
    <row r="46">
      <c r="A46" s="44" t="inlineStr">
        <is>
          <t>稳态再投资率 RR = g / ROIC</t>
        </is>
      </c>
      <c r="B46" s="37">
        <f>B15/B45</f>
        <v/>
      </c>
      <c r="H46" s="17" t="inlineStr">
        <is>
          <t>Damodaran：g = RR × ROIC，三者不可自由设定</t>
        </is>
      </c>
    </row>
    <row r="47">
      <c r="A47" s="12" t="inlineStr">
        <is>
          <t>终值 NOPAT = EBIT × (1 − t_term)</t>
        </is>
      </c>
      <c r="B47" s="39">
        <f>B35*(1-B34)</f>
        <v/>
      </c>
      <c r="H47" s="17" t="inlineStr">
        <is>
          <t>用【申报口径】NOPAT：研发资本化只调 ROIC 与 IC，不调 FCFF。稳态下研发支出≈研发摊销，两种口径的 NOPAT 收敛，故此处一致</t>
        </is>
      </c>
    </row>
    <row r="48">
      <c r="A48" s="44" t="inlineStr">
        <is>
          <t>★ 终值是否降级（1=是）</t>
        </is>
      </c>
      <c r="B48" s="57">
        <f>IF(OR(B42&lt;=0,B45&lt;=B14,B46&gt;=1,B46&lt;0),1,0)</f>
        <v/>
      </c>
      <c r="H48" s="17" t="inlineStr">
        <is>
          <t>投入资本为负、或 ROIC ≤ WACC、或再投资率越界时，Gordon 式的 (1−g/ROIC) 会失真甚至变号。此时降级为【无增长永续】TV = NOPAT/WACC —— 经济上正确：ROIC 不高于 WACC 时增长不创造价值。修正 IC 口径后，负投入资本这一触发条件对正常经营的公司已不应出现</t>
        </is>
      </c>
    </row>
    <row r="49">
      <c r="A49" s="44" t="inlineStr">
        <is>
          <t>终值 FCFF</t>
        </is>
      </c>
      <c r="B49" s="22">
        <f>IF(B48=1,B47,B35*(1+B15)*(1-B34)*(1-B46))</f>
        <v/>
      </c>
    </row>
    <row r="50">
      <c r="A50" s="44" t="inlineStr">
        <is>
          <t>终值 TV</t>
        </is>
      </c>
      <c r="B50" s="22">
        <f>IF(B48=1,B47/B14,B49/(B14-B15))</f>
        <v/>
      </c>
      <c r="H50" s="17" t="inlineStr">
        <is>
          <t>未降级：FCFF终 /(WACC − g)　｜　已降级：NOPAT / WACC</t>
        </is>
      </c>
    </row>
    <row r="51">
      <c r="A51" s="44" t="inlineStr">
        <is>
          <t>终值现值 PV(TV)</t>
        </is>
      </c>
      <c r="B51" s="22">
        <f>B50/(1+B14)^(5-0.5*B16)</f>
        <v/>
      </c>
    </row>
    <row r="52">
      <c r="A52" s="12" t="inlineStr">
        <is>
          <t>〔交叉校验〕可持续增长 g =（1−派息率）× ROE</t>
        </is>
      </c>
      <c r="B52" s="14" t="n">
        <v>1.4542</v>
      </c>
      <c r="H52" s="17" t="inlineStr">
        <is>
          <t>⚠ 本例不可用：ROE 171% &gt; 50%，多半是长期回购把账面权益冲小所致，公式失效</t>
        </is>
      </c>
    </row>
    <row r="54">
      <c r="A54" s="4" t="inlineStr">
        <is>
          <t>四、企业价值 → 每股内在价值</t>
        </is>
      </c>
      <c r="B54" s="5" t="n"/>
      <c r="C54" s="5" t="n"/>
      <c r="D54" s="5" t="n"/>
      <c r="E54" s="5" t="n"/>
      <c r="F54" s="5" t="n"/>
      <c r="G54" s="5" t="n"/>
    </row>
    <row r="55">
      <c r="A55" s="12" t="inlineStr">
        <is>
          <t>明确期 FCFF 现值合计</t>
        </is>
      </c>
      <c r="B55" s="39">
        <f>SUM(B31:F31)</f>
        <v/>
      </c>
    </row>
    <row r="56">
      <c r="A56" s="12" t="inlineStr">
        <is>
          <t>终值现值</t>
        </is>
      </c>
      <c r="B56" s="39">
        <f>B51</f>
        <v/>
      </c>
    </row>
    <row r="57">
      <c r="A57" s="44" t="inlineStr">
        <is>
          <t>企业价值 EV（2025-09-27 基准）</t>
        </is>
      </c>
      <c r="B57" s="22">
        <f>B55+B56</f>
        <v/>
      </c>
    </row>
    <row r="58">
      <c r="A58" s="12" t="inlineStr">
        <is>
          <t>估值基准日滚动年数</t>
        </is>
      </c>
      <c r="B58" s="52">
        <f>'1_Assumptions'!B106</f>
        <v/>
      </c>
      <c r="H58" s="17" t="inlineStr">
        <is>
          <t>财年末 → 评估日。非 12-31 财年在此体现</t>
        </is>
      </c>
    </row>
    <row r="59">
      <c r="A59" s="44" t="inlineStr">
        <is>
          <t>企业价值 EV（滚动至评估日）</t>
        </is>
      </c>
      <c r="B59" s="22">
        <f>B57*(1+B14)^B58-B28*B58*(1+B14)^(B58/2)</f>
        <v/>
      </c>
      <c r="H59" s="17" t="inlineStr">
        <is>
          <t>滚动后扣除财年末至评估日已实现的自由现金流</t>
        </is>
      </c>
    </row>
    <row r="60">
      <c r="A60" s="12" t="inlineStr">
        <is>
          <t>减：净负债（基期）</t>
        </is>
      </c>
      <c r="B60" s="39">
        <f>'1_Assumptions'!B80+'1_Assumptions'!B79+'1_Assumptions'!B81-'1_Assumptions'!B68-'1_Assumptions'!B69</f>
        <v/>
      </c>
      <c r="H60" s="17" t="inlineStr">
        <is>
          <t>经营租赁负债【不】计入 —— ASC 842 下租金已在 EBIT 内扣除，再计入即重复扣</t>
        </is>
      </c>
    </row>
    <row r="61">
      <c r="A61" s="12" t="inlineStr">
        <is>
          <t>加：非经营资产</t>
        </is>
      </c>
      <c r="B61" s="21">
        <f>'1_Assumptions'!B107</f>
        <v/>
      </c>
      <c r="H61" s="17" t="inlineStr">
        <is>
          <t>长期有价证券与权益法投资（短期投资已在净负债中扣除）</t>
        </is>
      </c>
    </row>
    <row r="62">
      <c r="A62" s="12" t="inlineStr">
        <is>
          <t>加：增发募资净额（现值）</t>
        </is>
      </c>
      <c r="B62" s="21">
        <f>'1_Assumptions'!B135/(1+B14)^'1_Assumptions'!B136</f>
        <v/>
      </c>
      <c r="H62" s="17" t="inlineStr">
        <is>
          <t>净负债按基期计量，未来募资的现金对 EV 不可见，必须单列</t>
        </is>
      </c>
    </row>
    <row r="63">
      <c r="A63" s="44" t="inlineStr">
        <is>
          <t>归属全体股东权益价值</t>
        </is>
      </c>
      <c r="B63" s="22">
        <f>B59-B60+B61+B62</f>
        <v/>
      </c>
    </row>
    <row r="64">
      <c r="A64" s="12" t="inlineStr">
        <is>
          <t>少数股东扣除方式</t>
        </is>
      </c>
      <c r="B64" s="54">
        <f>'1_Assumptions'!B108</f>
        <v/>
      </c>
    </row>
    <row r="65">
      <c r="A65" s="12" t="inlineStr">
        <is>
          <t>少数股东利润占比</t>
        </is>
      </c>
      <c r="B65" s="36">
        <f>'1_Assumptions'!B53</f>
        <v/>
      </c>
    </row>
    <row r="66">
      <c r="A66" s="12" t="inlineStr">
        <is>
          <t>减：少数股东权益</t>
        </is>
      </c>
      <c r="B66" s="39">
        <f>IF(B64=1,'1_Assumptions'!B83,B63*B65)</f>
        <v/>
      </c>
    </row>
    <row r="67">
      <c r="A67" s="44" t="inlineStr">
        <is>
          <t>归母股权价值</t>
        </is>
      </c>
      <c r="B67" s="22">
        <f>B63-B66</f>
        <v/>
      </c>
    </row>
    <row r="68">
      <c r="A68" s="12" t="inlineStr">
        <is>
          <t>当前摊薄股数（百万股，含增发）</t>
        </is>
      </c>
      <c r="B68" s="39">
        <f>'1_Assumptions'!B88+'1_Assumptions'!B130</f>
        <v/>
      </c>
      <c r="H68" s="17" t="inlineStr">
        <is>
          <t>用【当前】股数而非终值年股数：FCFF 是融资前口径，回购属于融资决策，不改变今天的企业价值；回购对未来 EPS 的影响见「2_Income」</t>
        </is>
      </c>
    </row>
    <row r="69">
      <c r="A69" s="44" t="inlineStr">
        <is>
          <t>每股内在价值</t>
        </is>
      </c>
      <c r="B69" s="47">
        <f>B67/B68</f>
        <v/>
      </c>
    </row>
    <row r="70">
      <c r="A70" s="12" t="inlineStr">
        <is>
          <t>现价</t>
        </is>
      </c>
      <c r="B70" s="58">
        <f>'1_Assumptions'!B89</f>
        <v/>
      </c>
    </row>
    <row r="71">
      <c r="A71" s="44" t="inlineStr">
        <is>
          <t>上行 / 下行空间</t>
        </is>
      </c>
      <c r="B71" s="59">
        <f>B69/B70-1</f>
        <v/>
      </c>
    </row>
    <row r="72">
      <c r="A72" s="12" t="inlineStr">
        <is>
          <t>终值占 EV 比重</t>
        </is>
      </c>
      <c r="B72" s="14">
        <f>B56/B57</f>
        <v/>
      </c>
      <c r="H72" s="17" t="inlineStr">
        <is>
          <t>超过 75% 说明估值高度依赖终值假设</t>
        </is>
      </c>
    </row>
    <row r="74">
      <c r="A74" s="4" t="inlineStr">
        <is>
          <t>五、退出倍数交叉验证（FINC6021 Ch.8：倍数与 DCF 是同一件事）</t>
        </is>
      </c>
      <c r="B74" s="5" t="n"/>
      <c r="C74" s="5" t="n"/>
      <c r="D74" s="5" t="n"/>
      <c r="E74" s="5" t="n"/>
      <c r="F74" s="5" t="n"/>
      <c r="G74" s="5" t="n"/>
    </row>
    <row r="75">
      <c r="A75" s="44" t="inlineStr">
        <is>
          <t>FY2030E EBITDA</t>
        </is>
      </c>
      <c r="B75" s="22">
        <f>B35+F23+F24</f>
        <v/>
      </c>
    </row>
    <row r="76">
      <c r="A76" s="44" t="inlineStr">
        <is>
          <t>模型隐含的退出 EV/EBITDA</t>
        </is>
      </c>
      <c r="B76" s="60">
        <f>B50/B75</f>
        <v/>
      </c>
      <c r="H76" s="17" t="inlineStr">
        <is>
          <t>由 Gordon 终值反解。若远高于同业成熟公司的 EV/EBITDA，说明终值假设过于乐观</t>
        </is>
      </c>
    </row>
    <row r="77">
      <c r="A77" s="12" t="inlineStr">
        <is>
          <t>FY2030E 归母净利</t>
        </is>
      </c>
      <c r="B77" s="39">
        <f>'2_Income'!K22</f>
        <v/>
      </c>
    </row>
    <row r="78">
      <c r="A78" s="12" t="inlineStr">
        <is>
          <t>模型隐含的退出 P/E（终值权益 / 终值净利）</t>
        </is>
      </c>
      <c r="B78" s="41">
        <f>(B50-('1_Assumptions'!B80+'1_Assumptions'!B79+'1_Assumptions'!B81))/B77</f>
        <v/>
      </c>
      <c r="H78" s="17" t="inlineStr">
        <is>
          <t>粗略口径：终值 EV 扣基期有息负债。仅作量级对照</t>
        </is>
      </c>
    </row>
    <row r="79">
      <c r="A79" s="12" t="inlineStr">
        <is>
          <t>理论倍数 = (1+g)/(WACC − g)</t>
        </is>
      </c>
      <c r="B79" s="41">
        <f>(1+B15)/(B14-B15)</f>
        <v/>
      </c>
      <c r="H79" s="17" t="inlineStr">
        <is>
          <t>课程：资本化率 = 1/倍数 &lt; 折现率；增长越高，两者差距越大</t>
        </is>
      </c>
    </row>
    <row r="81">
      <c r="A81" s="4" t="inlineStr">
        <is>
          <t>六、资本结构漂移诊断（FINC6021 Ch.4：WACC 假定资本结构恒定）</t>
        </is>
      </c>
      <c r="B81" s="5" t="n"/>
      <c r="C81" s="5" t="n"/>
      <c r="D81" s="5" t="n"/>
      <c r="E81" s="5" t="n"/>
      <c r="F81" s="5" t="n"/>
      <c r="G81" s="5" t="n"/>
    </row>
    <row r="82">
      <c r="A82" s="11" t="inlineStr">
        <is>
          <t>年度</t>
        </is>
      </c>
      <c r="B82" s="10" t="inlineStr">
        <is>
          <t>FY2026E</t>
        </is>
      </c>
      <c r="C82" s="10" t="inlineStr">
        <is>
          <t>FY2027E</t>
        </is>
      </c>
      <c r="D82" s="10" t="inlineStr">
        <is>
          <t>FY2028E</t>
        </is>
      </c>
      <c r="E82" s="10" t="inlineStr">
        <is>
          <t>FY2029E</t>
        </is>
      </c>
      <c r="F82" s="10" t="inlineStr">
        <is>
          <t>FY2030E</t>
        </is>
      </c>
    </row>
    <row r="83">
      <c r="A83" s="12" t="inlineStr">
        <is>
          <t>模型内含有息负债</t>
        </is>
      </c>
      <c r="B83" s="39">
        <f>'3_Balance'!G18+'3_Balance'!G19+'3_Balance'!G21</f>
        <v/>
      </c>
      <c r="C83" s="39">
        <f>'3_Balance'!H18+'3_Balance'!H19+'3_Balance'!H21</f>
        <v/>
      </c>
      <c r="D83" s="39">
        <f>'3_Balance'!I18+'3_Balance'!I19+'3_Balance'!I21</f>
        <v/>
      </c>
      <c r="E83" s="39">
        <f>'3_Balance'!J18+'3_Balance'!J19+'3_Balance'!J21</f>
        <v/>
      </c>
      <c r="F83" s="39">
        <f>'3_Balance'!K18+'3_Balance'!K19+'3_Balance'!K21</f>
        <v/>
      </c>
    </row>
    <row r="84">
      <c r="A84" s="12" t="inlineStr">
        <is>
          <t>股权（按现价 × 滚动股数）</t>
        </is>
      </c>
      <c r="B84" s="39">
        <f>'1_Assumptions'!$B$89*'4_CashFlow'!G30</f>
        <v/>
      </c>
      <c r="C84" s="39">
        <f>'1_Assumptions'!$B$89*'4_CashFlow'!H30</f>
        <v/>
      </c>
      <c r="D84" s="39">
        <f>'1_Assumptions'!$B$89*'4_CashFlow'!I30</f>
        <v/>
      </c>
      <c r="E84" s="39">
        <f>'1_Assumptions'!$B$89*'4_CashFlow'!J30</f>
        <v/>
      </c>
      <c r="F84" s="39">
        <f>'1_Assumptions'!$B$89*'4_CashFlow'!K30</f>
        <v/>
      </c>
    </row>
    <row r="85">
      <c r="A85" s="44" t="inlineStr">
        <is>
          <t>模型内含 D/(D+E)</t>
        </is>
      </c>
      <c r="B85" s="37">
        <f>B83/(B83+B84)</f>
        <v/>
      </c>
      <c r="C85" s="37">
        <f>C83/(C83+C84)</f>
        <v/>
      </c>
      <c r="D85" s="37">
        <f>D83/(D83+D84)</f>
        <v/>
      </c>
      <c r="E85" s="37">
        <f>E83/(E83+E84)</f>
        <v/>
      </c>
      <c r="F85" s="37">
        <f>F83/(F83+F84)</f>
        <v/>
      </c>
    </row>
    <row r="86">
      <c r="A86" s="12" t="inlineStr">
        <is>
          <t>与 WACC 假设权重的差</t>
        </is>
      </c>
      <c r="B86" s="19">
        <f>B85-$B$13</f>
        <v/>
      </c>
      <c r="C86" s="19">
        <f>C85-$B$13</f>
        <v/>
      </c>
      <c r="D86" s="19">
        <f>D85-$B$13</f>
        <v/>
      </c>
      <c r="E86" s="19">
        <f>E85-$B$13</f>
        <v/>
      </c>
      <c r="F86" s="19">
        <f>F85-$B$13</f>
        <v/>
      </c>
      <c r="H86" s="17" t="inlineStr">
        <is>
          <t>Plug 选的是现金 + 循环贷，资本结构会漂移；WACC 却假定它恒定。差距大到一定程度就该改用目标资本结构，并对 β 做去杠杆/再杠杆</t>
        </is>
      </c>
    </row>
    <row r="88">
      <c r="A88" s="4" t="inlineStr">
        <is>
          <t>七、敏感性：每股内在价值（行 = WACC，列 = 永续增长率 g）</t>
        </is>
      </c>
      <c r="B88" s="5" t="n"/>
      <c r="C88" s="5" t="n"/>
      <c r="D88" s="5" t="n"/>
      <c r="E88" s="5" t="n"/>
      <c r="F88" s="5" t="n"/>
      <c r="G88" s="5" t="n"/>
    </row>
    <row r="89">
      <c r="A89" s="11" t="inlineStr">
        <is>
          <t>WACC \ g</t>
        </is>
      </c>
      <c r="B89" s="61" t="n">
        <v>0.015</v>
      </c>
      <c r="C89" s="61" t="n">
        <v>0.02</v>
      </c>
      <c r="D89" s="61" t="n">
        <v>0.025</v>
      </c>
      <c r="E89" s="61" t="n">
        <v>0.03</v>
      </c>
      <c r="F89" s="61" t="n">
        <v>0.035</v>
      </c>
    </row>
    <row r="90">
      <c r="A90" s="62">
        <f>$B$14+-0.02</f>
        <v/>
      </c>
      <c r="B90" s="58">
        <f>(((($B$28/(1+$A90)^(1-0.5*$B$16)+$C$28/(1+$A90)^(2-0.5*$B$16)+$D$28/(1+$A90)^(3-0.5*$B$16)+$E$28/(1+$A90)^(4-0.5*$B$16)+$F$28/(1+$A90)^(5-0.5*$B$16))+(IF(OR($B$42&lt;=0,($B$35*(1-$B$34)/$B$42)&lt;=$A90,(B$89/($B$35*(1-$B$34)/$B$42))&gt;=1,(B$89/($B$35*(1-$B$34)/$B$42))&lt;0),($B$35*(1-$B$34))/$A90,$B$35*(1+B$89)*(1-$B$34)*(1-(B$89/($B$35*(1-$B$34)/$B$42)))/($A90-B$89)))/(1+$A90)^(5-0.5*$B$16))*(1+$A90)^$B$58-$B$28*$B$58*(1+$A90)^($B$58/2)-$B$60+$B$61+$B$62)*(1-IF($B$64=1,0,$B$65))-IF($B$64=1,'1_Assumptions'!$B$83,0))/$B$68</f>
        <v/>
      </c>
      <c r="C90" s="58">
        <f>(((($B$28/(1+$A90)^(1-0.5*$B$16)+$C$28/(1+$A90)^(2-0.5*$B$16)+$D$28/(1+$A90)^(3-0.5*$B$16)+$E$28/(1+$A90)^(4-0.5*$B$16)+$F$28/(1+$A90)^(5-0.5*$B$16))+(IF(OR($B$42&lt;=0,($B$35*(1-$B$34)/$B$42)&lt;=$A90,(C$89/($B$35*(1-$B$34)/$B$42))&gt;=1,(C$89/($B$35*(1-$B$34)/$B$42))&lt;0),($B$35*(1-$B$34))/$A90,$B$35*(1+C$89)*(1-$B$34)*(1-(C$89/($B$35*(1-$B$34)/$B$42)))/($A90-C$89)))/(1+$A90)^(5-0.5*$B$16))*(1+$A90)^$B$58-$B$28*$B$58*(1+$A90)^($B$58/2)-$B$60+$B$61+$B$62)*(1-IF($B$64=1,0,$B$65))-IF($B$64=1,'1_Assumptions'!$B$83,0))/$B$68</f>
        <v/>
      </c>
      <c r="D90" s="58">
        <f>(((($B$28/(1+$A90)^(1-0.5*$B$16)+$C$28/(1+$A90)^(2-0.5*$B$16)+$D$28/(1+$A90)^(3-0.5*$B$16)+$E$28/(1+$A90)^(4-0.5*$B$16)+$F$28/(1+$A90)^(5-0.5*$B$16))+(IF(OR($B$42&lt;=0,($B$35*(1-$B$34)/$B$42)&lt;=$A90,(D$89/($B$35*(1-$B$34)/$B$42))&gt;=1,(D$89/($B$35*(1-$B$34)/$B$42))&lt;0),($B$35*(1-$B$34))/$A90,$B$35*(1+D$89)*(1-$B$34)*(1-(D$89/($B$35*(1-$B$34)/$B$42)))/($A90-D$89)))/(1+$A90)^(5-0.5*$B$16))*(1+$A90)^$B$58-$B$28*$B$58*(1+$A90)^($B$58/2)-$B$60+$B$61+$B$62)*(1-IF($B$64=1,0,$B$65))-IF($B$64=1,'1_Assumptions'!$B$83,0))/$B$68</f>
        <v/>
      </c>
      <c r="E90" s="58">
        <f>(((($B$28/(1+$A90)^(1-0.5*$B$16)+$C$28/(1+$A90)^(2-0.5*$B$16)+$D$28/(1+$A90)^(3-0.5*$B$16)+$E$28/(1+$A90)^(4-0.5*$B$16)+$F$28/(1+$A90)^(5-0.5*$B$16))+(IF(OR($B$42&lt;=0,($B$35*(1-$B$34)/$B$42)&lt;=$A90,(E$89/($B$35*(1-$B$34)/$B$42))&gt;=1,(E$89/($B$35*(1-$B$34)/$B$42))&lt;0),($B$35*(1-$B$34))/$A90,$B$35*(1+E$89)*(1-$B$34)*(1-(E$89/($B$35*(1-$B$34)/$B$42)))/($A90-E$89)))/(1+$A90)^(5-0.5*$B$16))*(1+$A90)^$B$58-$B$28*$B$58*(1+$A90)^($B$58/2)-$B$60+$B$61+$B$62)*(1-IF($B$64=1,0,$B$65))-IF($B$64=1,'1_Assumptions'!$B$83,0))/$B$68</f>
        <v/>
      </c>
      <c r="F90" s="58">
        <f>(((($B$28/(1+$A90)^(1-0.5*$B$16)+$C$28/(1+$A90)^(2-0.5*$B$16)+$D$28/(1+$A90)^(3-0.5*$B$16)+$E$28/(1+$A90)^(4-0.5*$B$16)+$F$28/(1+$A90)^(5-0.5*$B$16))+(IF(OR($B$42&lt;=0,($B$35*(1-$B$34)/$B$42)&lt;=$A90,(F$89/($B$35*(1-$B$34)/$B$42))&gt;=1,(F$89/($B$35*(1-$B$34)/$B$42))&lt;0),($B$35*(1-$B$34))/$A90,$B$35*(1+F$89)*(1-$B$34)*(1-(F$89/($B$35*(1-$B$34)/$B$42)))/($A90-F$89)))/(1+$A90)^(5-0.5*$B$16))*(1+$A90)^$B$58-$B$28*$B$58*(1+$A90)^($B$58/2)-$B$60+$B$61+$B$62)*(1-IF($B$64=1,0,$B$65))-IF($B$64=1,'1_Assumptions'!$B$83,0))/$B$68</f>
        <v/>
      </c>
    </row>
    <row r="91">
      <c r="A91" s="62">
        <f>$B$14+-0.01</f>
        <v/>
      </c>
      <c r="B91" s="58">
        <f>(((($B$28/(1+$A91)^(1-0.5*$B$16)+$C$28/(1+$A91)^(2-0.5*$B$16)+$D$28/(1+$A91)^(3-0.5*$B$16)+$E$28/(1+$A91)^(4-0.5*$B$16)+$F$28/(1+$A91)^(5-0.5*$B$16))+(IF(OR($B$42&lt;=0,($B$35*(1-$B$34)/$B$42)&lt;=$A91,(B$89/($B$35*(1-$B$34)/$B$42))&gt;=1,(B$89/($B$35*(1-$B$34)/$B$42))&lt;0),($B$35*(1-$B$34))/$A91,$B$35*(1+B$89)*(1-$B$34)*(1-(B$89/($B$35*(1-$B$34)/$B$42)))/($A91-B$89)))/(1+$A91)^(5-0.5*$B$16))*(1+$A91)^$B$58-$B$28*$B$58*(1+$A91)^($B$58/2)-$B$60+$B$61+$B$62)*(1-IF($B$64=1,0,$B$65))-IF($B$64=1,'1_Assumptions'!$B$83,0))/$B$68</f>
        <v/>
      </c>
      <c r="C91" s="58">
        <f>(((($B$28/(1+$A91)^(1-0.5*$B$16)+$C$28/(1+$A91)^(2-0.5*$B$16)+$D$28/(1+$A91)^(3-0.5*$B$16)+$E$28/(1+$A91)^(4-0.5*$B$16)+$F$28/(1+$A91)^(5-0.5*$B$16))+(IF(OR($B$42&lt;=0,($B$35*(1-$B$34)/$B$42)&lt;=$A91,(C$89/($B$35*(1-$B$34)/$B$42))&gt;=1,(C$89/($B$35*(1-$B$34)/$B$42))&lt;0),($B$35*(1-$B$34))/$A91,$B$35*(1+C$89)*(1-$B$34)*(1-(C$89/($B$35*(1-$B$34)/$B$42)))/($A91-C$89)))/(1+$A91)^(5-0.5*$B$16))*(1+$A91)^$B$58-$B$28*$B$58*(1+$A91)^($B$58/2)-$B$60+$B$61+$B$62)*(1-IF($B$64=1,0,$B$65))-IF($B$64=1,'1_Assumptions'!$B$83,0))/$B$68</f>
        <v/>
      </c>
      <c r="D91" s="58">
        <f>(((($B$28/(1+$A91)^(1-0.5*$B$16)+$C$28/(1+$A91)^(2-0.5*$B$16)+$D$28/(1+$A91)^(3-0.5*$B$16)+$E$28/(1+$A91)^(4-0.5*$B$16)+$F$28/(1+$A91)^(5-0.5*$B$16))+(IF(OR($B$42&lt;=0,($B$35*(1-$B$34)/$B$42)&lt;=$A91,(D$89/($B$35*(1-$B$34)/$B$42))&gt;=1,(D$89/($B$35*(1-$B$34)/$B$42))&lt;0),($B$35*(1-$B$34))/$A91,$B$35*(1+D$89)*(1-$B$34)*(1-(D$89/($B$35*(1-$B$34)/$B$42)))/($A91-D$89)))/(1+$A91)^(5-0.5*$B$16))*(1+$A91)^$B$58-$B$28*$B$58*(1+$A91)^($B$58/2)-$B$60+$B$61+$B$62)*(1-IF($B$64=1,0,$B$65))-IF($B$64=1,'1_Assumptions'!$B$83,0))/$B$68</f>
        <v/>
      </c>
      <c r="E91" s="58">
        <f>(((($B$28/(1+$A91)^(1-0.5*$B$16)+$C$28/(1+$A91)^(2-0.5*$B$16)+$D$28/(1+$A91)^(3-0.5*$B$16)+$E$28/(1+$A91)^(4-0.5*$B$16)+$F$28/(1+$A91)^(5-0.5*$B$16))+(IF(OR($B$42&lt;=0,($B$35*(1-$B$34)/$B$42)&lt;=$A91,(E$89/($B$35*(1-$B$34)/$B$42))&gt;=1,(E$89/($B$35*(1-$B$34)/$B$42))&lt;0),($B$35*(1-$B$34))/$A91,$B$35*(1+E$89)*(1-$B$34)*(1-(E$89/($B$35*(1-$B$34)/$B$42)))/($A91-E$89)))/(1+$A91)^(5-0.5*$B$16))*(1+$A91)^$B$58-$B$28*$B$58*(1+$A91)^($B$58/2)-$B$60+$B$61+$B$62)*(1-IF($B$64=1,0,$B$65))-IF($B$64=1,'1_Assumptions'!$B$83,0))/$B$68</f>
        <v/>
      </c>
      <c r="F91" s="58">
        <f>(((($B$28/(1+$A91)^(1-0.5*$B$16)+$C$28/(1+$A91)^(2-0.5*$B$16)+$D$28/(1+$A91)^(3-0.5*$B$16)+$E$28/(1+$A91)^(4-0.5*$B$16)+$F$28/(1+$A91)^(5-0.5*$B$16))+(IF(OR($B$42&lt;=0,($B$35*(1-$B$34)/$B$42)&lt;=$A91,(F$89/($B$35*(1-$B$34)/$B$42))&gt;=1,(F$89/($B$35*(1-$B$34)/$B$42))&lt;0),($B$35*(1-$B$34))/$A91,$B$35*(1+F$89)*(1-$B$34)*(1-(F$89/($B$35*(1-$B$34)/$B$42)))/($A91-F$89)))/(1+$A91)^(5-0.5*$B$16))*(1+$A91)^$B$58-$B$28*$B$58*(1+$A91)^($B$58/2)-$B$60+$B$61+$B$62)*(1-IF($B$64=1,0,$B$65))-IF($B$64=1,'1_Assumptions'!$B$83,0))/$B$68</f>
        <v/>
      </c>
    </row>
    <row r="92">
      <c r="A92" s="62">
        <f>$B$14+0.0</f>
        <v/>
      </c>
      <c r="B92" s="58">
        <f>(((($B$28/(1+$A92)^(1-0.5*$B$16)+$C$28/(1+$A92)^(2-0.5*$B$16)+$D$28/(1+$A92)^(3-0.5*$B$16)+$E$28/(1+$A92)^(4-0.5*$B$16)+$F$28/(1+$A92)^(5-0.5*$B$16))+(IF(OR($B$42&lt;=0,($B$35*(1-$B$34)/$B$42)&lt;=$A92,(B$89/($B$35*(1-$B$34)/$B$42))&gt;=1,(B$89/($B$35*(1-$B$34)/$B$42))&lt;0),($B$35*(1-$B$34))/$A92,$B$35*(1+B$89)*(1-$B$34)*(1-(B$89/($B$35*(1-$B$34)/$B$42)))/($A92-B$89)))/(1+$A92)^(5-0.5*$B$16))*(1+$A92)^$B$58-$B$28*$B$58*(1+$A92)^($B$58/2)-$B$60+$B$61+$B$62)*(1-IF($B$64=1,0,$B$65))-IF($B$64=1,'1_Assumptions'!$B$83,0))/$B$68</f>
        <v/>
      </c>
      <c r="C92" s="58">
        <f>(((($B$28/(1+$A92)^(1-0.5*$B$16)+$C$28/(1+$A92)^(2-0.5*$B$16)+$D$28/(1+$A92)^(3-0.5*$B$16)+$E$28/(1+$A92)^(4-0.5*$B$16)+$F$28/(1+$A92)^(5-0.5*$B$16))+(IF(OR($B$42&lt;=0,($B$35*(1-$B$34)/$B$42)&lt;=$A92,(C$89/($B$35*(1-$B$34)/$B$42))&gt;=1,(C$89/($B$35*(1-$B$34)/$B$42))&lt;0),($B$35*(1-$B$34))/$A92,$B$35*(1+C$89)*(1-$B$34)*(1-(C$89/($B$35*(1-$B$34)/$B$42)))/($A92-C$89)))/(1+$A92)^(5-0.5*$B$16))*(1+$A92)^$B$58-$B$28*$B$58*(1+$A92)^($B$58/2)-$B$60+$B$61+$B$62)*(1-IF($B$64=1,0,$B$65))-IF($B$64=1,'1_Assumptions'!$B$83,0))/$B$68</f>
        <v/>
      </c>
      <c r="D92" s="58">
        <f>(((($B$28/(1+$A92)^(1-0.5*$B$16)+$C$28/(1+$A92)^(2-0.5*$B$16)+$D$28/(1+$A92)^(3-0.5*$B$16)+$E$28/(1+$A92)^(4-0.5*$B$16)+$F$28/(1+$A92)^(5-0.5*$B$16))+(IF(OR($B$42&lt;=0,($B$35*(1-$B$34)/$B$42)&lt;=$A92,(D$89/($B$35*(1-$B$34)/$B$42))&gt;=1,(D$89/($B$35*(1-$B$34)/$B$42))&lt;0),($B$35*(1-$B$34))/$A92,$B$35*(1+D$89)*(1-$B$34)*(1-(D$89/($B$35*(1-$B$34)/$B$42)))/($A92-D$89)))/(1+$A92)^(5-0.5*$B$16))*(1+$A92)^$B$58-$B$28*$B$58*(1+$A92)^($B$58/2)-$B$60+$B$61+$B$62)*(1-IF($B$64=1,0,$B$65))-IF($B$64=1,'1_Assumptions'!$B$83,0))/$B$68</f>
        <v/>
      </c>
      <c r="E92" s="58">
        <f>(((($B$28/(1+$A92)^(1-0.5*$B$16)+$C$28/(1+$A92)^(2-0.5*$B$16)+$D$28/(1+$A92)^(3-0.5*$B$16)+$E$28/(1+$A92)^(4-0.5*$B$16)+$F$28/(1+$A92)^(5-0.5*$B$16))+(IF(OR($B$42&lt;=0,($B$35*(1-$B$34)/$B$42)&lt;=$A92,(E$89/($B$35*(1-$B$34)/$B$42))&gt;=1,(E$89/($B$35*(1-$B$34)/$B$42))&lt;0),($B$35*(1-$B$34))/$A92,$B$35*(1+E$89)*(1-$B$34)*(1-(E$89/($B$35*(1-$B$34)/$B$42)))/($A92-E$89)))/(1+$A92)^(5-0.5*$B$16))*(1+$A92)^$B$58-$B$28*$B$58*(1+$A92)^($B$58/2)-$B$60+$B$61+$B$62)*(1-IF($B$64=1,0,$B$65))-IF($B$64=1,'1_Assumptions'!$B$83,0))/$B$68</f>
        <v/>
      </c>
      <c r="F92" s="58">
        <f>(((($B$28/(1+$A92)^(1-0.5*$B$16)+$C$28/(1+$A92)^(2-0.5*$B$16)+$D$28/(1+$A92)^(3-0.5*$B$16)+$E$28/(1+$A92)^(4-0.5*$B$16)+$F$28/(1+$A92)^(5-0.5*$B$16))+(IF(OR($B$42&lt;=0,($B$35*(1-$B$34)/$B$42)&lt;=$A92,(F$89/($B$35*(1-$B$34)/$B$42))&gt;=1,(F$89/($B$35*(1-$B$34)/$B$42))&lt;0),($B$35*(1-$B$34))/$A92,$B$35*(1+F$89)*(1-$B$34)*(1-(F$89/($B$35*(1-$B$34)/$B$42)))/($A92-F$89)))/(1+$A92)^(5-0.5*$B$16))*(1+$A92)^$B$58-$B$28*$B$58*(1+$A92)^($B$58/2)-$B$60+$B$61+$B$62)*(1-IF($B$64=1,0,$B$65))-IF($B$64=1,'1_Assumptions'!$B$83,0))/$B$68</f>
        <v/>
      </c>
    </row>
    <row r="93">
      <c r="A93" s="62">
        <f>$B$14+0.01</f>
        <v/>
      </c>
      <c r="B93" s="58">
        <f>(((($B$28/(1+$A93)^(1-0.5*$B$16)+$C$28/(1+$A93)^(2-0.5*$B$16)+$D$28/(1+$A93)^(3-0.5*$B$16)+$E$28/(1+$A93)^(4-0.5*$B$16)+$F$28/(1+$A93)^(5-0.5*$B$16))+(IF(OR($B$42&lt;=0,($B$35*(1-$B$34)/$B$42)&lt;=$A93,(B$89/($B$35*(1-$B$34)/$B$42))&gt;=1,(B$89/($B$35*(1-$B$34)/$B$42))&lt;0),($B$35*(1-$B$34))/$A93,$B$35*(1+B$89)*(1-$B$34)*(1-(B$89/($B$35*(1-$B$34)/$B$42)))/($A93-B$89)))/(1+$A93)^(5-0.5*$B$16))*(1+$A93)^$B$58-$B$28*$B$58*(1+$A93)^($B$58/2)-$B$60+$B$61+$B$62)*(1-IF($B$64=1,0,$B$65))-IF($B$64=1,'1_Assumptions'!$B$83,0))/$B$68</f>
        <v/>
      </c>
      <c r="C93" s="58">
        <f>(((($B$28/(1+$A93)^(1-0.5*$B$16)+$C$28/(1+$A93)^(2-0.5*$B$16)+$D$28/(1+$A93)^(3-0.5*$B$16)+$E$28/(1+$A93)^(4-0.5*$B$16)+$F$28/(1+$A93)^(5-0.5*$B$16))+(IF(OR($B$42&lt;=0,($B$35*(1-$B$34)/$B$42)&lt;=$A93,(C$89/($B$35*(1-$B$34)/$B$42))&gt;=1,(C$89/($B$35*(1-$B$34)/$B$42))&lt;0),($B$35*(1-$B$34))/$A93,$B$35*(1+C$89)*(1-$B$34)*(1-(C$89/($B$35*(1-$B$34)/$B$42)))/($A93-C$89)))/(1+$A93)^(5-0.5*$B$16))*(1+$A93)^$B$58-$B$28*$B$58*(1+$A93)^($B$58/2)-$B$60+$B$61+$B$62)*(1-IF($B$64=1,0,$B$65))-IF($B$64=1,'1_Assumptions'!$B$83,0))/$B$68</f>
        <v/>
      </c>
      <c r="D93" s="58">
        <f>(((($B$28/(1+$A93)^(1-0.5*$B$16)+$C$28/(1+$A93)^(2-0.5*$B$16)+$D$28/(1+$A93)^(3-0.5*$B$16)+$E$28/(1+$A93)^(4-0.5*$B$16)+$F$28/(1+$A93)^(5-0.5*$B$16))+(IF(OR($B$42&lt;=0,($B$35*(1-$B$34)/$B$42)&lt;=$A93,(D$89/($B$35*(1-$B$34)/$B$42))&gt;=1,(D$89/($B$35*(1-$B$34)/$B$42))&lt;0),($B$35*(1-$B$34))/$A93,$B$35*(1+D$89)*(1-$B$34)*(1-(D$89/($B$35*(1-$B$34)/$B$42)))/($A93-D$89)))/(1+$A93)^(5-0.5*$B$16))*(1+$A93)^$B$58-$B$28*$B$58*(1+$A93)^($B$58/2)-$B$60+$B$61+$B$62)*(1-IF($B$64=1,0,$B$65))-IF($B$64=1,'1_Assumptions'!$B$83,0))/$B$68</f>
        <v/>
      </c>
      <c r="E93" s="58">
        <f>(((($B$28/(1+$A93)^(1-0.5*$B$16)+$C$28/(1+$A93)^(2-0.5*$B$16)+$D$28/(1+$A93)^(3-0.5*$B$16)+$E$28/(1+$A93)^(4-0.5*$B$16)+$F$28/(1+$A93)^(5-0.5*$B$16))+(IF(OR($B$42&lt;=0,($B$35*(1-$B$34)/$B$42)&lt;=$A93,(E$89/($B$35*(1-$B$34)/$B$42))&gt;=1,(E$89/($B$35*(1-$B$34)/$B$42))&lt;0),($B$35*(1-$B$34))/$A93,$B$35*(1+E$89)*(1-$B$34)*(1-(E$89/($B$35*(1-$B$34)/$B$42)))/($A93-E$89)))/(1+$A93)^(5-0.5*$B$16))*(1+$A93)^$B$58-$B$28*$B$58*(1+$A93)^($B$58/2)-$B$60+$B$61+$B$62)*(1-IF($B$64=1,0,$B$65))-IF($B$64=1,'1_Assumptions'!$B$83,0))/$B$68</f>
        <v/>
      </c>
      <c r="F93" s="58">
        <f>(((($B$28/(1+$A93)^(1-0.5*$B$16)+$C$28/(1+$A93)^(2-0.5*$B$16)+$D$28/(1+$A93)^(3-0.5*$B$16)+$E$28/(1+$A93)^(4-0.5*$B$16)+$F$28/(1+$A93)^(5-0.5*$B$16))+(IF(OR($B$42&lt;=0,($B$35*(1-$B$34)/$B$42)&lt;=$A93,(F$89/($B$35*(1-$B$34)/$B$42))&gt;=1,(F$89/($B$35*(1-$B$34)/$B$42))&lt;0),($B$35*(1-$B$34))/$A93,$B$35*(1+F$89)*(1-$B$34)*(1-(F$89/($B$35*(1-$B$34)/$B$42)))/($A93-F$89)))/(1+$A93)^(5-0.5*$B$16))*(1+$A93)^$B$58-$B$28*$B$58*(1+$A93)^($B$58/2)-$B$60+$B$61+$B$62)*(1-IF($B$64=1,0,$B$65))-IF($B$64=1,'1_Assumptions'!$B$83,0))/$B$68</f>
        <v/>
      </c>
    </row>
    <row r="94">
      <c r="A94" s="62">
        <f>$B$14+0.02</f>
        <v/>
      </c>
      <c r="B94" s="58">
        <f>(((($B$28/(1+$A94)^(1-0.5*$B$16)+$C$28/(1+$A94)^(2-0.5*$B$16)+$D$28/(1+$A94)^(3-0.5*$B$16)+$E$28/(1+$A94)^(4-0.5*$B$16)+$F$28/(1+$A94)^(5-0.5*$B$16))+(IF(OR($B$42&lt;=0,($B$35*(1-$B$34)/$B$42)&lt;=$A94,(B$89/($B$35*(1-$B$34)/$B$42))&gt;=1,(B$89/($B$35*(1-$B$34)/$B$42))&lt;0),($B$35*(1-$B$34))/$A94,$B$35*(1+B$89)*(1-$B$34)*(1-(B$89/($B$35*(1-$B$34)/$B$42)))/($A94-B$89)))/(1+$A94)^(5-0.5*$B$16))*(1+$A94)^$B$58-$B$28*$B$58*(1+$A94)^($B$58/2)-$B$60+$B$61+$B$62)*(1-IF($B$64=1,0,$B$65))-IF($B$64=1,'1_Assumptions'!$B$83,0))/$B$68</f>
        <v/>
      </c>
      <c r="C94" s="58">
        <f>(((($B$28/(1+$A94)^(1-0.5*$B$16)+$C$28/(1+$A94)^(2-0.5*$B$16)+$D$28/(1+$A94)^(3-0.5*$B$16)+$E$28/(1+$A94)^(4-0.5*$B$16)+$F$28/(1+$A94)^(5-0.5*$B$16))+(IF(OR($B$42&lt;=0,($B$35*(1-$B$34)/$B$42)&lt;=$A94,(C$89/($B$35*(1-$B$34)/$B$42))&gt;=1,(C$89/($B$35*(1-$B$34)/$B$42))&lt;0),($B$35*(1-$B$34))/$A94,$B$35*(1+C$89)*(1-$B$34)*(1-(C$89/($B$35*(1-$B$34)/$B$42)))/($A94-C$89)))/(1+$A94)^(5-0.5*$B$16))*(1+$A94)^$B$58-$B$28*$B$58*(1+$A94)^($B$58/2)-$B$60+$B$61+$B$62)*(1-IF($B$64=1,0,$B$65))-IF($B$64=1,'1_Assumptions'!$B$83,0))/$B$68</f>
        <v/>
      </c>
      <c r="D94" s="58">
        <f>(((($B$28/(1+$A94)^(1-0.5*$B$16)+$C$28/(1+$A94)^(2-0.5*$B$16)+$D$28/(1+$A94)^(3-0.5*$B$16)+$E$28/(1+$A94)^(4-0.5*$B$16)+$F$28/(1+$A94)^(5-0.5*$B$16))+(IF(OR($B$42&lt;=0,($B$35*(1-$B$34)/$B$42)&lt;=$A94,(D$89/($B$35*(1-$B$34)/$B$42))&gt;=1,(D$89/($B$35*(1-$B$34)/$B$42))&lt;0),($B$35*(1-$B$34))/$A94,$B$35*(1+D$89)*(1-$B$34)*(1-(D$89/($B$35*(1-$B$34)/$B$42)))/($A94-D$89)))/(1+$A94)^(5-0.5*$B$16))*(1+$A94)^$B$58-$B$28*$B$58*(1+$A94)^($B$58/2)-$B$60+$B$61+$B$62)*(1-IF($B$64=1,0,$B$65))-IF($B$64=1,'1_Assumptions'!$B$83,0))/$B$68</f>
        <v/>
      </c>
      <c r="E94" s="58">
        <f>(((($B$28/(1+$A94)^(1-0.5*$B$16)+$C$28/(1+$A94)^(2-0.5*$B$16)+$D$28/(1+$A94)^(3-0.5*$B$16)+$E$28/(1+$A94)^(4-0.5*$B$16)+$F$28/(1+$A94)^(5-0.5*$B$16))+(IF(OR($B$42&lt;=0,($B$35*(1-$B$34)/$B$42)&lt;=$A94,(E$89/($B$35*(1-$B$34)/$B$42))&gt;=1,(E$89/($B$35*(1-$B$34)/$B$42))&lt;0),($B$35*(1-$B$34))/$A94,$B$35*(1+E$89)*(1-$B$34)*(1-(E$89/($B$35*(1-$B$34)/$B$42)))/($A94-E$89)))/(1+$A94)^(5-0.5*$B$16))*(1+$A94)^$B$58-$B$28*$B$58*(1+$A94)^($B$58/2)-$B$60+$B$61+$B$62)*(1-IF($B$64=1,0,$B$65))-IF($B$64=1,'1_Assumptions'!$B$83,0))/$B$68</f>
        <v/>
      </c>
      <c r="F94" s="58">
        <f>(((($B$28/(1+$A94)^(1-0.5*$B$16)+$C$28/(1+$A94)^(2-0.5*$B$16)+$D$28/(1+$A94)^(3-0.5*$B$16)+$E$28/(1+$A94)^(4-0.5*$B$16)+$F$28/(1+$A94)^(5-0.5*$B$16))+(IF(OR($B$42&lt;=0,($B$35*(1-$B$34)/$B$42)&lt;=$A94,(F$89/($B$35*(1-$B$34)/$B$42))&gt;=1,(F$89/($B$35*(1-$B$34)/$B$42))&lt;0),($B$35*(1-$B$34))/$A94,$B$35*(1+F$89)*(1-$B$34)*(1-(F$89/($B$35*(1-$B$34)/$B$42)))/($A94-F$89)))/(1+$A94)^(5-0.5*$B$16))*(1+$A94)^$B$58-$B$28*$B$58*(1+$A94)^($B$58/2)-$B$60+$B$61+$B$62)*(1-IF($B$64=1,0,$B$65))-IF($B$64=1,'1_Assumptions'!$B$83,0))/$B$68</f>
        <v/>
      </c>
    </row>
    <row r="95">
      <c r="A95" s="23" t="inlineStr">
        <is>
          <t>★ 中心格（生效 WACC，且 g = 生效值）应等于上方「每股内在价值」</t>
        </is>
      </c>
    </row>
    <row r="97">
      <c r="A97" s="4" t="inlineStr">
        <is>
          <t>模块 A：营收增速平移 × 永续增长率 g　—　每股内在价值</t>
        </is>
      </c>
      <c r="B97" s="5" t="n"/>
      <c r="C97" s="5" t="n"/>
      <c r="D97" s="5" t="n"/>
      <c r="E97" s="5" t="n"/>
      <c r="F97" s="5" t="n"/>
      <c r="G97" s="5" t="n"/>
    </row>
    <row r="98">
      <c r="A98" s="17" t="inlineStr">
        <is>
          <t>Δ 施加在每一年的生效增速上；中心格 Δ=0 且 g=生效值，必然复现基准每股价值</t>
        </is>
      </c>
    </row>
    <row r="99">
      <c r="A99" s="11" t="inlineStr">
        <is>
          <t>营收增速 Δ \ 永续 g</t>
        </is>
      </c>
      <c r="B99" s="61" t="n">
        <v>0.01</v>
      </c>
      <c r="C99" s="61" t="n">
        <v>0.0175</v>
      </c>
      <c r="D99" s="61" t="n">
        <v>0.025</v>
      </c>
      <c r="E99" s="61" t="n">
        <v>0.0325</v>
      </c>
      <c r="F99" s="61" t="n">
        <v>0.04</v>
      </c>
    </row>
    <row r="100">
      <c r="A100" s="62">
        <f>'6_Engine'!$B$38</f>
        <v/>
      </c>
      <c r="B100" s="58">
        <f>'6_Engine'!BU38</f>
        <v/>
      </c>
      <c r="C100" s="58">
        <f>'6_Engine'!BU39</f>
        <v/>
      </c>
      <c r="D100" s="58">
        <f>'6_Engine'!BU40</f>
        <v/>
      </c>
      <c r="E100" s="58">
        <f>'6_Engine'!BU41</f>
        <v/>
      </c>
      <c r="F100" s="58">
        <f>'6_Engine'!BU42</f>
        <v/>
      </c>
    </row>
    <row r="101">
      <c r="A101" s="62">
        <f>'6_Engine'!$B$43</f>
        <v/>
      </c>
      <c r="B101" s="58">
        <f>'6_Engine'!BU43</f>
        <v/>
      </c>
      <c r="C101" s="58">
        <f>'6_Engine'!BU44</f>
        <v/>
      </c>
      <c r="D101" s="58">
        <f>'6_Engine'!BU45</f>
        <v/>
      </c>
      <c r="E101" s="58">
        <f>'6_Engine'!BU46</f>
        <v/>
      </c>
      <c r="F101" s="58">
        <f>'6_Engine'!BU47</f>
        <v/>
      </c>
    </row>
    <row r="102">
      <c r="A102" s="62">
        <f>'6_Engine'!$B$48</f>
        <v/>
      </c>
      <c r="B102" s="58">
        <f>'6_Engine'!BU48</f>
        <v/>
      </c>
      <c r="C102" s="58">
        <f>'6_Engine'!BU49</f>
        <v/>
      </c>
      <c r="D102" s="58">
        <f>'6_Engine'!BU50</f>
        <v/>
      </c>
      <c r="E102" s="58">
        <f>'6_Engine'!BU51</f>
        <v/>
      </c>
      <c r="F102" s="58">
        <f>'6_Engine'!BU52</f>
        <v/>
      </c>
    </row>
    <row r="103">
      <c r="A103" s="62">
        <f>'6_Engine'!$B$53</f>
        <v/>
      </c>
      <c r="B103" s="58">
        <f>'6_Engine'!BU53</f>
        <v/>
      </c>
      <c r="C103" s="58">
        <f>'6_Engine'!BU54</f>
        <v/>
      </c>
      <c r="D103" s="58">
        <f>'6_Engine'!BU55</f>
        <v/>
      </c>
      <c r="E103" s="58">
        <f>'6_Engine'!BU56</f>
        <v/>
      </c>
      <c r="F103" s="58">
        <f>'6_Engine'!BU57</f>
        <v/>
      </c>
    </row>
    <row r="104">
      <c r="A104" s="62">
        <f>'6_Engine'!$B$58</f>
        <v/>
      </c>
      <c r="B104" s="58">
        <f>'6_Engine'!BU58</f>
        <v/>
      </c>
      <c r="C104" s="58">
        <f>'6_Engine'!BU59</f>
        <v/>
      </c>
      <c r="D104" s="58">
        <f>'6_Engine'!BU60</f>
        <v/>
      </c>
      <c r="E104" s="58">
        <f>'6_Engine'!BU61</f>
        <v/>
      </c>
      <c r="F104" s="58">
        <f>'6_Engine'!BU62</f>
        <v/>
      </c>
    </row>
    <row r="105">
      <c r="A105" s="23" t="inlineStr">
        <is>
          <t>★ 中心格自检（应为 0）</t>
        </is>
      </c>
      <c r="B105" s="63">
        <f>'6_Engine'!BU50-B69</f>
        <v/>
      </c>
    </row>
    <row r="107">
      <c r="A107" s="4" t="inlineStr">
        <is>
          <t>模块 B：毛利率平移 × 永续增长率 g　—　每股内在价值</t>
        </is>
      </c>
      <c r="B107" s="5" t="n"/>
      <c r="C107" s="5" t="n"/>
      <c r="D107" s="5" t="n"/>
      <c r="E107" s="5" t="n"/>
      <c r="F107" s="5" t="n"/>
      <c r="G107" s="5" t="n"/>
    </row>
    <row r="108">
      <c r="A108" s="17" t="inlineStr">
        <is>
          <t>毛利率是判断项里最敏感的一个：1pp 的持续偏差会被终值放大</t>
        </is>
      </c>
    </row>
    <row r="109">
      <c r="A109" s="11" t="inlineStr">
        <is>
          <t>毛利率 Δ \ 永续 g</t>
        </is>
      </c>
      <c r="B109" s="61" t="n">
        <v>0.01</v>
      </c>
      <c r="C109" s="61" t="n">
        <v>0.0175</v>
      </c>
      <c r="D109" s="61" t="n">
        <v>0.025</v>
      </c>
      <c r="E109" s="61" t="n">
        <v>0.0325</v>
      </c>
      <c r="F109" s="61" t="n">
        <v>0.04</v>
      </c>
    </row>
    <row r="110">
      <c r="A110" s="62">
        <f>'6_Engine'!$B$67</f>
        <v/>
      </c>
      <c r="B110" s="58">
        <f>'6_Engine'!BU67</f>
        <v/>
      </c>
      <c r="C110" s="58">
        <f>'6_Engine'!BU68</f>
        <v/>
      </c>
      <c r="D110" s="58">
        <f>'6_Engine'!BU69</f>
        <v/>
      </c>
      <c r="E110" s="58">
        <f>'6_Engine'!BU70</f>
        <v/>
      </c>
      <c r="F110" s="58">
        <f>'6_Engine'!BU71</f>
        <v/>
      </c>
    </row>
    <row r="111">
      <c r="A111" s="62">
        <f>'6_Engine'!$B$72</f>
        <v/>
      </c>
      <c r="B111" s="58">
        <f>'6_Engine'!BU72</f>
        <v/>
      </c>
      <c r="C111" s="58">
        <f>'6_Engine'!BU73</f>
        <v/>
      </c>
      <c r="D111" s="58">
        <f>'6_Engine'!BU74</f>
        <v/>
      </c>
      <c r="E111" s="58">
        <f>'6_Engine'!BU75</f>
        <v/>
      </c>
      <c r="F111" s="58">
        <f>'6_Engine'!BU76</f>
        <v/>
      </c>
    </row>
    <row r="112">
      <c r="A112" s="62">
        <f>'6_Engine'!$B$77</f>
        <v/>
      </c>
      <c r="B112" s="58">
        <f>'6_Engine'!BU77</f>
        <v/>
      </c>
      <c r="C112" s="58">
        <f>'6_Engine'!BU78</f>
        <v/>
      </c>
      <c r="D112" s="58">
        <f>'6_Engine'!BU79</f>
        <v/>
      </c>
      <c r="E112" s="58">
        <f>'6_Engine'!BU80</f>
        <v/>
      </c>
      <c r="F112" s="58">
        <f>'6_Engine'!BU81</f>
        <v/>
      </c>
    </row>
    <row r="113">
      <c r="A113" s="62">
        <f>'6_Engine'!$B$82</f>
        <v/>
      </c>
      <c r="B113" s="58">
        <f>'6_Engine'!BU82</f>
        <v/>
      </c>
      <c r="C113" s="58">
        <f>'6_Engine'!BU83</f>
        <v/>
      </c>
      <c r="D113" s="58">
        <f>'6_Engine'!BU84</f>
        <v/>
      </c>
      <c r="E113" s="58">
        <f>'6_Engine'!BU85</f>
        <v/>
      </c>
      <c r="F113" s="58">
        <f>'6_Engine'!BU86</f>
        <v/>
      </c>
    </row>
    <row r="114">
      <c r="A114" s="62">
        <f>'6_Engine'!$B$87</f>
        <v/>
      </c>
      <c r="B114" s="58">
        <f>'6_Engine'!BU87</f>
        <v/>
      </c>
      <c r="C114" s="58">
        <f>'6_Engine'!BU88</f>
        <v/>
      </c>
      <c r="D114" s="58">
        <f>'6_Engine'!BU89</f>
        <v/>
      </c>
      <c r="E114" s="58">
        <f>'6_Engine'!BU90</f>
        <v/>
      </c>
      <c r="F114" s="58">
        <f>'6_Engine'!BU91</f>
        <v/>
      </c>
    </row>
    <row r="115">
      <c r="A115" s="23" t="inlineStr">
        <is>
          <t>★ 中心格自检（应为 0）</t>
        </is>
      </c>
      <c r="B115" s="63">
        <f>'6_Engine'!BU79-B69</f>
        <v/>
      </c>
    </row>
    <row r="117">
      <c r="A117" s="4" t="inlineStr">
        <is>
          <t>模块 C：营收增速平移 × 毛利率平移　—　每股内在价值</t>
        </is>
      </c>
      <c r="B117" s="5" t="n"/>
      <c r="C117" s="5" t="n"/>
      <c r="D117" s="5" t="n"/>
      <c r="E117" s="5" t="n"/>
      <c r="F117" s="5" t="n"/>
      <c r="G117" s="5" t="n"/>
    </row>
    <row r="118">
      <c r="A118" s="17" t="inlineStr">
        <is>
          <t>两个判断项同时动 —— 历史上它们并非独立</t>
        </is>
      </c>
    </row>
    <row r="119">
      <c r="A119" s="11" t="inlineStr">
        <is>
          <t>营收增速 Δ \ 毛利率 Δ</t>
        </is>
      </c>
      <c r="B119" s="61" t="n">
        <v>-0.04</v>
      </c>
      <c r="C119" s="61" t="n">
        <v>-0.02</v>
      </c>
      <c r="D119" s="61" t="n">
        <v>0</v>
      </c>
      <c r="E119" s="61" t="n">
        <v>0.02</v>
      </c>
      <c r="F119" s="61" t="n">
        <v>0.04</v>
      </c>
    </row>
    <row r="120">
      <c r="A120" s="62">
        <f>'6_Engine'!$B$96</f>
        <v/>
      </c>
      <c r="B120" s="58">
        <f>'6_Engine'!BU96</f>
        <v/>
      </c>
      <c r="C120" s="58">
        <f>'6_Engine'!BU97</f>
        <v/>
      </c>
      <c r="D120" s="58">
        <f>'6_Engine'!BU98</f>
        <v/>
      </c>
      <c r="E120" s="58">
        <f>'6_Engine'!BU99</f>
        <v/>
      </c>
      <c r="F120" s="58">
        <f>'6_Engine'!BU100</f>
        <v/>
      </c>
    </row>
    <row r="121">
      <c r="A121" s="62">
        <f>'6_Engine'!$B$101</f>
        <v/>
      </c>
      <c r="B121" s="58">
        <f>'6_Engine'!BU101</f>
        <v/>
      </c>
      <c r="C121" s="58">
        <f>'6_Engine'!BU102</f>
        <v/>
      </c>
      <c r="D121" s="58">
        <f>'6_Engine'!BU103</f>
        <v/>
      </c>
      <c r="E121" s="58">
        <f>'6_Engine'!BU104</f>
        <v/>
      </c>
      <c r="F121" s="58">
        <f>'6_Engine'!BU105</f>
        <v/>
      </c>
    </row>
    <row r="122">
      <c r="A122" s="62">
        <f>'6_Engine'!$B$106</f>
        <v/>
      </c>
      <c r="B122" s="58">
        <f>'6_Engine'!BU106</f>
        <v/>
      </c>
      <c r="C122" s="58">
        <f>'6_Engine'!BU107</f>
        <v/>
      </c>
      <c r="D122" s="58">
        <f>'6_Engine'!BU108</f>
        <v/>
      </c>
      <c r="E122" s="58">
        <f>'6_Engine'!BU109</f>
        <v/>
      </c>
      <c r="F122" s="58">
        <f>'6_Engine'!BU110</f>
        <v/>
      </c>
    </row>
    <row r="123">
      <c r="A123" s="62">
        <f>'6_Engine'!$B$111</f>
        <v/>
      </c>
      <c r="B123" s="58">
        <f>'6_Engine'!BU111</f>
        <v/>
      </c>
      <c r="C123" s="58">
        <f>'6_Engine'!BU112</f>
        <v/>
      </c>
      <c r="D123" s="58">
        <f>'6_Engine'!BU113</f>
        <v/>
      </c>
      <c r="E123" s="58">
        <f>'6_Engine'!BU114</f>
        <v/>
      </c>
      <c r="F123" s="58">
        <f>'6_Engine'!BU115</f>
        <v/>
      </c>
    </row>
    <row r="124">
      <c r="A124" s="62">
        <f>'6_Engine'!$B$116</f>
        <v/>
      </c>
      <c r="B124" s="58">
        <f>'6_Engine'!BU116</f>
        <v/>
      </c>
      <c r="C124" s="58">
        <f>'6_Engine'!BU117</f>
        <v/>
      </c>
      <c r="D124" s="58">
        <f>'6_Engine'!BU118</f>
        <v/>
      </c>
      <c r="E124" s="58">
        <f>'6_Engine'!BU119</f>
        <v/>
      </c>
      <c r="F124" s="58">
        <f>'6_Engine'!BU120</f>
        <v/>
      </c>
    </row>
    <row r="125">
      <c r="A125" s="23" t="inlineStr">
        <is>
          <t>★ 中心格自检（应为 0）</t>
        </is>
      </c>
      <c r="B125" s="63">
        <f>'6_Engine'!BU108-B69</f>
        <v/>
      </c>
    </row>
    <row r="127">
      <c r="A127" s="4" t="inlineStr">
        <is>
          <t>模块 D：WACC × 毛利率平移　—　每股内在价值</t>
        </is>
      </c>
      <c r="B127" s="5" t="n"/>
      <c r="C127" s="5" t="n"/>
      <c r="D127" s="5" t="n"/>
      <c r="E127" s="5" t="n"/>
      <c r="F127" s="5" t="n"/>
      <c r="G127" s="5" t="n"/>
    </row>
    <row r="128">
      <c r="A128" s="17" t="inlineStr">
        <is>
          <t>WACC 偏移直接加在生效 WACC 上，不改 Beta/ERP</t>
        </is>
      </c>
    </row>
    <row r="129">
      <c r="A129" s="11" t="inlineStr">
        <is>
          <t>WACC 偏移 \ 毛利率 Δ</t>
        </is>
      </c>
      <c r="B129" s="61" t="n">
        <v>-0.04</v>
      </c>
      <c r="C129" s="61" t="n">
        <v>-0.02</v>
      </c>
      <c r="D129" s="61" t="n">
        <v>0</v>
      </c>
      <c r="E129" s="61" t="n">
        <v>0.02</v>
      </c>
      <c r="F129" s="61" t="n">
        <v>0.04</v>
      </c>
    </row>
    <row r="130">
      <c r="A130" s="62">
        <f>'6_Engine'!$B$125</f>
        <v/>
      </c>
      <c r="B130" s="58">
        <f>'6_Engine'!BU125</f>
        <v/>
      </c>
      <c r="C130" s="58">
        <f>'6_Engine'!BU126</f>
        <v/>
      </c>
      <c r="D130" s="58">
        <f>'6_Engine'!BU127</f>
        <v/>
      </c>
      <c r="E130" s="58">
        <f>'6_Engine'!BU128</f>
        <v/>
      </c>
      <c r="F130" s="58">
        <f>'6_Engine'!BU129</f>
        <v/>
      </c>
    </row>
    <row r="131">
      <c r="A131" s="62">
        <f>'6_Engine'!$B$130</f>
        <v/>
      </c>
      <c r="B131" s="58">
        <f>'6_Engine'!BU130</f>
        <v/>
      </c>
      <c r="C131" s="58">
        <f>'6_Engine'!BU131</f>
        <v/>
      </c>
      <c r="D131" s="58">
        <f>'6_Engine'!BU132</f>
        <v/>
      </c>
      <c r="E131" s="58">
        <f>'6_Engine'!BU133</f>
        <v/>
      </c>
      <c r="F131" s="58">
        <f>'6_Engine'!BU134</f>
        <v/>
      </c>
    </row>
    <row r="132">
      <c r="A132" s="62">
        <f>'6_Engine'!$B$135</f>
        <v/>
      </c>
      <c r="B132" s="58">
        <f>'6_Engine'!BU135</f>
        <v/>
      </c>
      <c r="C132" s="58">
        <f>'6_Engine'!BU136</f>
        <v/>
      </c>
      <c r="D132" s="58">
        <f>'6_Engine'!BU137</f>
        <v/>
      </c>
      <c r="E132" s="58">
        <f>'6_Engine'!BU138</f>
        <v/>
      </c>
      <c r="F132" s="58">
        <f>'6_Engine'!BU139</f>
        <v/>
      </c>
    </row>
    <row r="133">
      <c r="A133" s="62">
        <f>'6_Engine'!$B$140</f>
        <v/>
      </c>
      <c r="B133" s="58">
        <f>'6_Engine'!BU140</f>
        <v/>
      </c>
      <c r="C133" s="58">
        <f>'6_Engine'!BU141</f>
        <v/>
      </c>
      <c r="D133" s="58">
        <f>'6_Engine'!BU142</f>
        <v/>
      </c>
      <c r="E133" s="58">
        <f>'6_Engine'!BU143</f>
        <v/>
      </c>
      <c r="F133" s="58">
        <f>'6_Engine'!BU144</f>
        <v/>
      </c>
    </row>
    <row r="134">
      <c r="A134" s="62">
        <f>'6_Engine'!$B$145</f>
        <v/>
      </c>
      <c r="B134" s="58">
        <f>'6_Engine'!BU145</f>
        <v/>
      </c>
      <c r="C134" s="58">
        <f>'6_Engine'!BU146</f>
        <v/>
      </c>
      <c r="D134" s="58">
        <f>'6_Engine'!BU147</f>
        <v/>
      </c>
      <c r="E134" s="58">
        <f>'6_Engine'!BU148</f>
        <v/>
      </c>
      <c r="F134" s="58">
        <f>'6_Engine'!BU149</f>
        <v/>
      </c>
    </row>
    <row r="135">
      <c r="A135" s="23" t="inlineStr">
        <is>
          <t>★ 中心格自检（应为 0）</t>
        </is>
      </c>
      <c r="B135" s="63">
        <f>'6_Engine'!BU137-B69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BV14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</cols>
  <sheetData>
    <row r="1">
      <c r="A1" s="64" t="inlineStr">
        <is>
          <t>AAPL — 敏感性引擎（每行 = 一次完整 5 年 FCFF 重算）</t>
        </is>
      </c>
    </row>
    <row r="2">
      <c r="A2" s="2" t="inlineStr">
        <is>
          <t>本页是计算中间层，不需手工编辑。「5_DCF」的敏感性表从这里取数；改「1_Assumptions」后本页自动重算。</t>
        </is>
      </c>
    </row>
    <row r="4">
      <c r="A4" s="4" t="inlineStr">
        <is>
          <t>基期锚点与生效参数</t>
        </is>
      </c>
      <c r="B4" s="5" t="n"/>
      <c r="C4" s="5" t="n"/>
    </row>
    <row r="5">
      <c r="A5" s="12" t="inlineStr">
        <is>
          <t>基期营业收入</t>
        </is>
      </c>
      <c r="B5" s="21">
        <f>'1_Assumptions'!$B$87</f>
        <v/>
      </c>
    </row>
    <row r="6">
      <c r="A6" s="12" t="inlineStr">
        <is>
          <t>期初固定资产净额</t>
        </is>
      </c>
      <c r="B6" s="21">
        <f>'1_Assumptions'!$B$73</f>
        <v/>
      </c>
    </row>
    <row r="7">
      <c r="A7" s="12" t="inlineStr">
        <is>
          <t>期初商誉与无形</t>
        </is>
      </c>
      <c r="B7" s="21">
        <f>'1_Assumptions'!$B$75</f>
        <v/>
      </c>
    </row>
    <row r="8">
      <c r="A8" s="12" t="inlineStr">
        <is>
          <t>期初研发资本</t>
        </is>
      </c>
      <c r="B8" s="21">
        <f>'1_Assumptions'!$B$86</f>
        <v/>
      </c>
    </row>
    <row r="9">
      <c r="A9" s="12" t="inlineStr">
        <is>
          <t>其他非流动资产净额</t>
        </is>
      </c>
      <c r="B9" s="21">
        <f>'1_Assumptions'!$B$76-'1_Assumptions'!$B$82</f>
        <v/>
      </c>
    </row>
    <row r="10">
      <c r="A10" s="12" t="inlineStr">
        <is>
          <t>期初 NWC</t>
        </is>
      </c>
      <c r="B10" s="21">
        <f>'1_Assumptions'!$B$70+'1_Assumptions'!$B$71+'1_Assumptions'!$B$72-'1_Assumptions'!$B$77-'1_Assumptions'!$B$78</f>
        <v/>
      </c>
    </row>
    <row r="11">
      <c r="A11" s="12" t="inlineStr">
        <is>
          <t>经营费用率合计</t>
        </is>
      </c>
      <c r="B11" s="65">
        <f>'1_Assumptions'!$B$49+'1_Assumptions'!$B$50</f>
        <v/>
      </c>
    </row>
    <row r="12">
      <c r="A12" s="12" t="inlineStr">
        <is>
          <t>其他经营损益率</t>
        </is>
      </c>
      <c r="B12" s="65">
        <f>'1_Assumptions'!$B$51</f>
        <v/>
      </c>
    </row>
    <row r="13">
      <c r="A13" s="12" t="inlineStr">
        <is>
          <t>折旧率</t>
        </is>
      </c>
      <c r="B13" s="65">
        <f>'1_Assumptions'!$B$59</f>
        <v/>
      </c>
    </row>
    <row r="14">
      <c r="A14" s="12" t="inlineStr">
        <is>
          <t>无形摊销率</t>
        </is>
      </c>
      <c r="B14" s="65">
        <f>'1_Assumptions'!$B$60</f>
        <v/>
      </c>
    </row>
    <row r="15">
      <c r="A15" s="12" t="inlineStr">
        <is>
          <t>有效税率</t>
        </is>
      </c>
      <c r="B15" s="65">
        <f>'1_Assumptions'!$B$52</f>
        <v/>
      </c>
    </row>
    <row r="16">
      <c r="A16" s="12" t="inlineStr">
        <is>
          <t>研发费用率</t>
        </is>
      </c>
      <c r="B16" s="65">
        <f>'1_Assumptions'!$B$49</f>
        <v/>
      </c>
    </row>
    <row r="17">
      <c r="A17" s="12" t="inlineStr">
        <is>
          <t>研发资本化开关</t>
        </is>
      </c>
      <c r="B17" s="65">
        <f>'1_Assumptions'!B109</f>
        <v/>
      </c>
    </row>
    <row r="18">
      <c r="A18" s="12" t="inlineStr">
        <is>
          <t>研发摊销年限</t>
        </is>
      </c>
      <c r="B18" s="65">
        <f>'1_Assumptions'!B110</f>
        <v/>
      </c>
    </row>
    <row r="19">
      <c r="A19" s="12" t="inlineStr">
        <is>
          <t>SBC 加回开关</t>
        </is>
      </c>
      <c r="B19" s="65">
        <f>'1_Assumptions'!B113</f>
        <v/>
      </c>
    </row>
    <row r="20">
      <c r="A20" s="12" t="inlineStr">
        <is>
          <t>终值税率</t>
        </is>
      </c>
      <c r="B20" s="65">
        <f>'5_DCF'!B34</f>
        <v/>
      </c>
    </row>
    <row r="21">
      <c r="A21" s="12" t="inlineStr">
        <is>
          <t>WACC（生效）</t>
        </is>
      </c>
      <c r="B21" s="21">
        <f>'5_DCF'!B14</f>
        <v/>
      </c>
    </row>
    <row r="22">
      <c r="A22" s="12" t="inlineStr">
        <is>
          <t>永续 g（生效）</t>
        </is>
      </c>
      <c r="B22" s="65">
        <f>'5_DCF'!B15</f>
        <v/>
      </c>
    </row>
    <row r="23">
      <c r="A23" s="12" t="inlineStr">
        <is>
          <t>期中折现开关</t>
        </is>
      </c>
      <c r="B23" s="65">
        <f>'5_DCF'!B16</f>
        <v/>
      </c>
    </row>
    <row r="24">
      <c r="A24" s="12" t="inlineStr">
        <is>
          <t>滚动年数</t>
        </is>
      </c>
      <c r="B24" s="65">
        <f>'5_DCF'!B58</f>
        <v/>
      </c>
    </row>
    <row r="25">
      <c r="A25" s="12" t="inlineStr">
        <is>
          <t>净负债</t>
        </is>
      </c>
      <c r="B25" s="21">
        <f>'5_DCF'!B60</f>
        <v/>
      </c>
    </row>
    <row r="26">
      <c r="A26" s="12" t="inlineStr">
        <is>
          <t>非经营资产</t>
        </is>
      </c>
      <c r="B26" s="21">
        <f>'5_DCF'!B61</f>
        <v/>
      </c>
    </row>
    <row r="27">
      <c r="A27" s="12" t="inlineStr">
        <is>
          <t>募资净额现值</t>
        </is>
      </c>
      <c r="B27" s="21">
        <f>'5_DCF'!B62</f>
        <v/>
      </c>
    </row>
    <row r="28">
      <c r="A28" s="12" t="inlineStr">
        <is>
          <t>少数股东方式</t>
        </is>
      </c>
      <c r="B28" s="65">
        <f>'5_DCF'!B64</f>
        <v/>
      </c>
    </row>
    <row r="29">
      <c r="A29" s="12" t="inlineStr">
        <is>
          <t>少数股东占比</t>
        </is>
      </c>
      <c r="B29" s="65">
        <f>'5_DCF'!B65</f>
        <v/>
      </c>
    </row>
    <row r="30">
      <c r="A30" s="12" t="inlineStr">
        <is>
          <t>账面少数股东权益</t>
        </is>
      </c>
      <c r="B30" s="21">
        <f>'1_Assumptions'!$B$83</f>
        <v/>
      </c>
    </row>
    <row r="31">
      <c r="A31" s="12" t="inlineStr">
        <is>
          <t>总股本</t>
        </is>
      </c>
      <c r="B31" s="21">
        <f>'5_DCF'!B68</f>
        <v/>
      </c>
    </row>
    <row r="32">
      <c r="A32" s="12" t="inlineStr">
        <is>
          <t>终值ROIC模式</t>
        </is>
      </c>
      <c r="B32" s="21">
        <f>'1_Assumptions'!B111</f>
        <v/>
      </c>
    </row>
    <row r="33">
      <c r="A33" s="12" t="inlineStr">
        <is>
          <t>终值ROIC溢价</t>
        </is>
      </c>
      <c r="B33" s="21">
        <f>'1_Assumptions'!B112</f>
        <v/>
      </c>
    </row>
    <row r="35">
      <c r="A35" s="4" t="inlineStr">
        <is>
          <t>模块 A：营收增速平移 × 永续增长率 g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</row>
    <row r="36">
      <c r="A36" s="15" t="inlineStr">
        <is>
          <t>Δ 施加在每一年的生效增速上；中心格 Δ=0 且 g=生效值，必然复现基准每股价值</t>
        </is>
      </c>
    </row>
    <row r="37">
      <c r="A37" s="10" t="inlineStr">
        <is>
          <t>场景</t>
        </is>
      </c>
      <c r="B37" s="10" t="inlineStr">
        <is>
          <t>营收增速 Δ</t>
        </is>
      </c>
      <c r="C37" s="10" t="inlineStr">
        <is>
          <t>永续 g</t>
        </is>
      </c>
      <c r="D37" s="10" t="inlineStr">
        <is>
          <t>营收1</t>
        </is>
      </c>
      <c r="E37" s="10" t="inlineStr">
        <is>
          <t>成本1</t>
        </is>
      </c>
      <c r="F37" s="10" t="inlineStr">
        <is>
          <t>EBIT1</t>
        </is>
      </c>
      <c r="G37" s="10" t="inlineStr">
        <is>
          <t>折旧1</t>
        </is>
      </c>
      <c r="H37" s="10" t="inlineStr">
        <is>
          <t>资本开支1</t>
        </is>
      </c>
      <c r="I37" s="10" t="inlineStr">
        <is>
          <t>期末固资1</t>
        </is>
      </c>
      <c r="J37" s="10" t="inlineStr">
        <is>
          <t>摊销1</t>
        </is>
      </c>
      <c r="K37" s="10" t="inlineStr">
        <is>
          <t>商誉无形1</t>
        </is>
      </c>
      <c r="L37" s="10" t="inlineStr">
        <is>
          <t>研发资本1</t>
        </is>
      </c>
      <c r="M37" s="10" t="inlineStr">
        <is>
          <t>NWC1</t>
        </is>
      </c>
      <c r="N37" s="10" t="inlineStr">
        <is>
          <t>FCFF1</t>
        </is>
      </c>
      <c r="O37" s="10" t="inlineStr">
        <is>
          <t>营收2</t>
        </is>
      </c>
      <c r="P37" s="10" t="inlineStr">
        <is>
          <t>成本2</t>
        </is>
      </c>
      <c r="Q37" s="10" t="inlineStr">
        <is>
          <t>EBIT2</t>
        </is>
      </c>
      <c r="R37" s="10" t="inlineStr">
        <is>
          <t>折旧2</t>
        </is>
      </c>
      <c r="S37" s="10" t="inlineStr">
        <is>
          <t>资本开支2</t>
        </is>
      </c>
      <c r="T37" s="10" t="inlineStr">
        <is>
          <t>期末固资2</t>
        </is>
      </c>
      <c r="U37" s="10" t="inlineStr">
        <is>
          <t>摊销2</t>
        </is>
      </c>
      <c r="V37" s="10" t="inlineStr">
        <is>
          <t>商誉无形2</t>
        </is>
      </c>
      <c r="W37" s="10" t="inlineStr">
        <is>
          <t>研发资本2</t>
        </is>
      </c>
      <c r="X37" s="10" t="inlineStr">
        <is>
          <t>NWC2</t>
        </is>
      </c>
      <c r="Y37" s="10" t="inlineStr">
        <is>
          <t>FCFF2</t>
        </is>
      </c>
      <c r="Z37" s="10" t="inlineStr">
        <is>
          <t>营收3</t>
        </is>
      </c>
      <c r="AA37" s="10" t="inlineStr">
        <is>
          <t>成本3</t>
        </is>
      </c>
      <c r="AB37" s="10" t="inlineStr">
        <is>
          <t>EBIT3</t>
        </is>
      </c>
      <c r="AC37" s="10" t="inlineStr">
        <is>
          <t>折旧3</t>
        </is>
      </c>
      <c r="AD37" s="10" t="inlineStr">
        <is>
          <t>资本开支3</t>
        </is>
      </c>
      <c r="AE37" s="10" t="inlineStr">
        <is>
          <t>期末固资3</t>
        </is>
      </c>
      <c r="AF37" s="10" t="inlineStr">
        <is>
          <t>摊销3</t>
        </is>
      </c>
      <c r="AG37" s="10" t="inlineStr">
        <is>
          <t>商誉无形3</t>
        </is>
      </c>
      <c r="AH37" s="10" t="inlineStr">
        <is>
          <t>研发资本3</t>
        </is>
      </c>
      <c r="AI37" s="10" t="inlineStr">
        <is>
          <t>NWC3</t>
        </is>
      </c>
      <c r="AJ37" s="10" t="inlineStr">
        <is>
          <t>FCFF3</t>
        </is>
      </c>
      <c r="AK37" s="10" t="inlineStr">
        <is>
          <t>营收4</t>
        </is>
      </c>
      <c r="AL37" s="10" t="inlineStr">
        <is>
          <t>成本4</t>
        </is>
      </c>
      <c r="AM37" s="10" t="inlineStr">
        <is>
          <t>EBIT4</t>
        </is>
      </c>
      <c r="AN37" s="10" t="inlineStr">
        <is>
          <t>折旧4</t>
        </is>
      </c>
      <c r="AO37" s="10" t="inlineStr">
        <is>
          <t>资本开支4</t>
        </is>
      </c>
      <c r="AP37" s="10" t="inlineStr">
        <is>
          <t>期末固资4</t>
        </is>
      </c>
      <c r="AQ37" s="10" t="inlineStr">
        <is>
          <t>摊销4</t>
        </is>
      </c>
      <c r="AR37" s="10" t="inlineStr">
        <is>
          <t>商誉无形4</t>
        </is>
      </c>
      <c r="AS37" s="10" t="inlineStr">
        <is>
          <t>研发资本4</t>
        </is>
      </c>
      <c r="AT37" s="10" t="inlineStr">
        <is>
          <t>NWC4</t>
        </is>
      </c>
      <c r="AU37" s="10" t="inlineStr">
        <is>
          <t>FCFF4</t>
        </is>
      </c>
      <c r="AV37" s="10" t="inlineStr">
        <is>
          <t>营收5</t>
        </is>
      </c>
      <c r="AW37" s="10" t="inlineStr">
        <is>
          <t>成本5</t>
        </is>
      </c>
      <c r="AX37" s="10" t="inlineStr">
        <is>
          <t>EBIT5</t>
        </is>
      </c>
      <c r="AY37" s="10" t="inlineStr">
        <is>
          <t>折旧5</t>
        </is>
      </c>
      <c r="AZ37" s="10" t="inlineStr">
        <is>
          <t>资本开支5</t>
        </is>
      </c>
      <c r="BA37" s="10" t="inlineStr">
        <is>
          <t>期末固资5</t>
        </is>
      </c>
      <c r="BB37" s="10" t="inlineStr">
        <is>
          <t>摊销5</t>
        </is>
      </c>
      <c r="BC37" s="10" t="inlineStr">
        <is>
          <t>商誉无形5</t>
        </is>
      </c>
      <c r="BD37" s="10" t="inlineStr">
        <is>
          <t>研发资本5</t>
        </is>
      </c>
      <c r="BE37" s="10" t="inlineStr">
        <is>
          <t>NWC5</t>
        </is>
      </c>
      <c r="BF37" s="10" t="inlineStr">
        <is>
          <t>FCFF5</t>
        </is>
      </c>
      <c r="BG37" s="10" t="inlineStr">
        <is>
          <t>PV明确期</t>
        </is>
      </c>
      <c r="BH37" s="10" t="inlineStr">
        <is>
          <t>终值IC</t>
        </is>
      </c>
      <c r="BI37" s="10" t="inlineStr">
        <is>
          <t>终值ROIC</t>
        </is>
      </c>
      <c r="BJ37" s="10" t="inlineStr">
        <is>
          <t>再投资率</t>
        </is>
      </c>
      <c r="BK37" s="10" t="inlineStr">
        <is>
          <t>降级</t>
        </is>
      </c>
      <c r="BL37" s="10" t="inlineStr">
        <is>
          <t>终值NOPAT</t>
        </is>
      </c>
      <c r="BM37" s="10" t="inlineStr">
        <is>
          <t>终值FCFF</t>
        </is>
      </c>
      <c r="BN37" s="10" t="inlineStr">
        <is>
          <t>TV</t>
        </is>
      </c>
      <c r="BO37" s="10" t="inlineStr">
        <is>
          <t>PV(TV)</t>
        </is>
      </c>
      <c r="BP37" s="10" t="inlineStr">
        <is>
          <t>EV0</t>
        </is>
      </c>
      <c r="BQ37" s="10" t="inlineStr">
        <is>
          <t>EV</t>
        </is>
      </c>
      <c r="BR37" s="10" t="inlineStr">
        <is>
          <t>全体权益</t>
        </is>
      </c>
      <c r="BS37" s="10" t="inlineStr">
        <is>
          <t>少数股东</t>
        </is>
      </c>
      <c r="BT37" s="10" t="inlineStr">
        <is>
          <t>归母权益</t>
        </is>
      </c>
      <c r="BU37" s="10" t="inlineStr">
        <is>
          <t>每股</t>
        </is>
      </c>
    </row>
    <row r="38">
      <c r="A38" s="17" t="inlineStr">
        <is>
          <t>1-1</t>
        </is>
      </c>
      <c r="B38" s="26" t="n">
        <v>-0.06</v>
      </c>
      <c r="C38" s="26" t="n">
        <v>0.01</v>
      </c>
      <c r="D38" s="39">
        <f>$B$5*(1+('1_Assumptions'!$E$11+IF('1_Assumptions'!$B$39=1,0,$B38)))</f>
        <v/>
      </c>
      <c r="E38" s="39">
        <f>D38*(1-'1_Assumptions'!$E$17)</f>
        <v/>
      </c>
      <c r="F38" s="39">
        <f>D38-E38-D38*$B$11+D38*$B$12</f>
        <v/>
      </c>
      <c r="G38" s="39">
        <f>$B$6*$B$13</f>
        <v/>
      </c>
      <c r="H38" s="39">
        <f>D38*'1_Assumptions'!$E$23</f>
        <v/>
      </c>
      <c r="I38" s="39">
        <f>$B$6+H38-G38</f>
        <v/>
      </c>
      <c r="J38" s="39">
        <f>D38*$B$14</f>
        <v/>
      </c>
      <c r="K38" s="39">
        <f>$B$7-J38</f>
        <v/>
      </c>
      <c r="L38" s="39">
        <f>$B$8+D38*$B$16-$B$8/$B$18</f>
        <v/>
      </c>
      <c r="M38" s="39">
        <f>D38*'1_Assumptions'!$B$56/365+E38*'1_Assumptions'!$B$57/365+D38*'1_Assumptions'!$B$54-E38*'1_Assumptions'!$B$58/365-D38*'1_Assumptions'!$B$55</f>
        <v/>
      </c>
      <c r="N38" s="39">
        <f>F38*(1-$B$15)+G38+J38+IF($B$19=1,D38*'1_Assumptions'!$E$29,0)-H38-(M38-$B$10)</f>
        <v/>
      </c>
      <c r="O38" s="39">
        <f>D38*(1+('1_Assumptions'!$E$12+$B38))</f>
        <v/>
      </c>
      <c r="P38" s="39">
        <f>O38*(1-'1_Assumptions'!$E$18)</f>
        <v/>
      </c>
      <c r="Q38" s="39">
        <f>O38-P38-O38*$B$11+O38*$B$12</f>
        <v/>
      </c>
      <c r="R38" s="39">
        <f>I38*$B$13</f>
        <v/>
      </c>
      <c r="S38" s="39">
        <f>O38*'1_Assumptions'!$E$24</f>
        <v/>
      </c>
      <c r="T38" s="39">
        <f>I38+S38-R38</f>
        <v/>
      </c>
      <c r="U38" s="39">
        <f>O38*$B$14</f>
        <v/>
      </c>
      <c r="V38" s="39">
        <f>K38-U38</f>
        <v/>
      </c>
      <c r="W38" s="39">
        <f>L38+O38*$B$16-L38/$B$18</f>
        <v/>
      </c>
      <c r="X38" s="39">
        <f>O38*'1_Assumptions'!$B$56/365+P38*'1_Assumptions'!$B$57/365+O38*'1_Assumptions'!$B$54-P38*'1_Assumptions'!$B$58/365-O38*'1_Assumptions'!$B$55</f>
        <v/>
      </c>
      <c r="Y38" s="39">
        <f>Q38*(1-$B$15)+R38+U38+IF($B$19=1,O38*'1_Assumptions'!$E$30,0)-S38-(X38-M38)</f>
        <v/>
      </c>
      <c r="Z38" s="39">
        <f>O38*(1+('1_Assumptions'!$E$13+$B38))</f>
        <v/>
      </c>
      <c r="AA38" s="39">
        <f>Z38*(1-'1_Assumptions'!$E$19)</f>
        <v/>
      </c>
      <c r="AB38" s="39">
        <f>Z38-AA38-Z38*$B$11+Z38*$B$12</f>
        <v/>
      </c>
      <c r="AC38" s="39">
        <f>T38*$B$13</f>
        <v/>
      </c>
      <c r="AD38" s="39">
        <f>Z38*'1_Assumptions'!$E$25</f>
        <v/>
      </c>
      <c r="AE38" s="39">
        <f>T38+AD38-AC38</f>
        <v/>
      </c>
      <c r="AF38" s="39">
        <f>Z38*$B$14</f>
        <v/>
      </c>
      <c r="AG38" s="39">
        <f>V38-AF38</f>
        <v/>
      </c>
      <c r="AH38" s="39">
        <f>W38+Z38*$B$16-W38/$B$18</f>
        <v/>
      </c>
      <c r="AI38" s="39">
        <f>Z38*'1_Assumptions'!$B$56/365+AA38*'1_Assumptions'!$B$57/365+Z38*'1_Assumptions'!$B$54-AA38*'1_Assumptions'!$B$58/365-Z38*'1_Assumptions'!$B$55</f>
        <v/>
      </c>
      <c r="AJ38" s="39">
        <f>AB38*(1-$B$15)+AC38+AF38+IF($B$19=1,Z38*'1_Assumptions'!$E$31,0)-AD38-(AI38-X38)</f>
        <v/>
      </c>
      <c r="AK38" s="39">
        <f>Z38*(1+('1_Assumptions'!$E$14+$B38))</f>
        <v/>
      </c>
      <c r="AL38" s="39">
        <f>AK38*(1-'1_Assumptions'!$E$20)</f>
        <v/>
      </c>
      <c r="AM38" s="39">
        <f>AK38-AL38-AK38*$B$11+AK38*$B$12</f>
        <v/>
      </c>
      <c r="AN38" s="39">
        <f>AE38*$B$13</f>
        <v/>
      </c>
      <c r="AO38" s="39">
        <f>AK38*'1_Assumptions'!$E$26</f>
        <v/>
      </c>
      <c r="AP38" s="39">
        <f>AE38+AO38-AN38</f>
        <v/>
      </c>
      <c r="AQ38" s="39">
        <f>AK38*$B$14</f>
        <v/>
      </c>
      <c r="AR38" s="39">
        <f>AG38-AQ38</f>
        <v/>
      </c>
      <c r="AS38" s="39">
        <f>AH38+AK38*$B$16-AH38/$B$18</f>
        <v/>
      </c>
      <c r="AT38" s="39">
        <f>AK38*'1_Assumptions'!$B$56/365+AL38*'1_Assumptions'!$B$57/365+AK38*'1_Assumptions'!$B$54-AL38*'1_Assumptions'!$B$58/365-AK38*'1_Assumptions'!$B$55</f>
        <v/>
      </c>
      <c r="AU38" s="39">
        <f>AM38*(1-$B$15)+AN38+AQ38+IF($B$19=1,AK38*'1_Assumptions'!$E$32,0)-AO38-(AT38-AI38)</f>
        <v/>
      </c>
      <c r="AV38" s="39">
        <f>AK38*(1+('1_Assumptions'!$E$15+$B38))</f>
        <v/>
      </c>
      <c r="AW38" s="39">
        <f>AV38*(1-'1_Assumptions'!$E$21)</f>
        <v/>
      </c>
      <c r="AX38" s="39">
        <f>AV38-AW38-AV38*$B$11+AV38*$B$12</f>
        <v/>
      </c>
      <c r="AY38" s="39">
        <f>AP38*$B$13</f>
        <v/>
      </c>
      <c r="AZ38" s="39">
        <f>AV38*'1_Assumptions'!$E$27</f>
        <v/>
      </c>
      <c r="BA38" s="39">
        <f>AP38+AZ38-AY38</f>
        <v/>
      </c>
      <c r="BB38" s="39">
        <f>AV38*$B$14</f>
        <v/>
      </c>
      <c r="BC38" s="39">
        <f>AR38-BB38</f>
        <v/>
      </c>
      <c r="BD38" s="39">
        <f>AS38+AV38*$B$16-AS38/$B$18</f>
        <v/>
      </c>
      <c r="BE38" s="39">
        <f>AV38*'1_Assumptions'!$B$56/365+AW38*'1_Assumptions'!$B$57/365+AV38*'1_Assumptions'!$B$54-AW38*'1_Assumptions'!$B$58/365-AV38*'1_Assumptions'!$B$55</f>
        <v/>
      </c>
      <c r="BF38" s="39">
        <f>AX38*(1-$B$15)+AY38+BB38+IF($B$19=1,AV38*'1_Assumptions'!$E$33,0)-AZ38-(BE38-AT38)</f>
        <v/>
      </c>
      <c r="BG38" s="39">
        <f>N38/(1+$B$21)^(1-0.5*$B$23)+Y38/(1+$B$21)^(2-0.5*$B$23)+AJ38/(1+$B$21)^(3-0.5*$B$23)+AU38/(1+$B$21)^(4-0.5*$B$23)+BF38/(1+$B$21)^(5-0.5*$B$23)</f>
        <v/>
      </c>
      <c r="BH38" s="39">
        <f>BE38+BA38+BC38+$B$9+IF($B$17=1,BD38,0)</f>
        <v/>
      </c>
      <c r="BI38" s="19">
        <f>IF($B$32=2,$B$21+$B$33,IF(BH38=0,0,BL38/BH38))</f>
        <v/>
      </c>
      <c r="BJ38" s="19">
        <f>IF(BI38=0,9,$C38/BI38)</f>
        <v/>
      </c>
      <c r="BK38" s="55">
        <f>IF(OR(BH38&lt;=0,BI38&lt;=$B$21,BJ38&gt;=1,BJ38&lt;0),1,0)</f>
        <v/>
      </c>
      <c r="BL38" s="39">
        <f>AX38*(1-$B$20)</f>
        <v/>
      </c>
      <c r="BM38" s="39">
        <f>IF(BK38=1,BL38,AX38*(1+$C38)*(1-$B$20)*(1-BJ38))</f>
        <v/>
      </c>
      <c r="BN38" s="39">
        <f>IF(BK38=1,BL38/$B$21,BM38/($B$21-$C38))</f>
        <v/>
      </c>
      <c r="BO38" s="39">
        <f>BN38/(1+$B$21)^(5-0.5*$B$23)</f>
        <v/>
      </c>
      <c r="BP38" s="39">
        <f>BG38+BO38</f>
        <v/>
      </c>
      <c r="BQ38" s="39">
        <f>BP38*(1+$B$21)^$B$24-N38*$B$24*(1+$B$21)^($B$24/2)</f>
        <v/>
      </c>
      <c r="BR38" s="39">
        <f>BQ38-$B$25+$B$26+$B$27</f>
        <v/>
      </c>
      <c r="BS38" s="39">
        <f>IF($B$28=1,$B$30,BR38*$B$29)</f>
        <v/>
      </c>
      <c r="BT38" s="39">
        <f>BR38-BS38</f>
        <v/>
      </c>
      <c r="BU38" s="58">
        <f>BT38/$B$31</f>
        <v/>
      </c>
    </row>
    <row r="39">
      <c r="A39" s="17" t="inlineStr">
        <is>
          <t>1-2</t>
        </is>
      </c>
      <c r="B39" s="26" t="n">
        <v>-0.06</v>
      </c>
      <c r="C39" s="26" t="n">
        <v>0.0175</v>
      </c>
      <c r="D39" s="39">
        <f>$B$5*(1+('1_Assumptions'!$E$11+IF('1_Assumptions'!$B$39=1,0,$B39)))</f>
        <v/>
      </c>
      <c r="E39" s="39">
        <f>D39*(1-'1_Assumptions'!$E$17)</f>
        <v/>
      </c>
      <c r="F39" s="39">
        <f>D39-E39-D39*$B$11+D39*$B$12</f>
        <v/>
      </c>
      <c r="G39" s="39">
        <f>$B$6*$B$13</f>
        <v/>
      </c>
      <c r="H39" s="39">
        <f>D39*'1_Assumptions'!$E$23</f>
        <v/>
      </c>
      <c r="I39" s="39">
        <f>$B$6+H39-G39</f>
        <v/>
      </c>
      <c r="J39" s="39">
        <f>D39*$B$14</f>
        <v/>
      </c>
      <c r="K39" s="39">
        <f>$B$7-J39</f>
        <v/>
      </c>
      <c r="L39" s="39">
        <f>$B$8+D39*$B$16-$B$8/$B$18</f>
        <v/>
      </c>
      <c r="M39" s="39">
        <f>D39*'1_Assumptions'!$B$56/365+E39*'1_Assumptions'!$B$57/365+D39*'1_Assumptions'!$B$54-E39*'1_Assumptions'!$B$58/365-D39*'1_Assumptions'!$B$55</f>
        <v/>
      </c>
      <c r="N39" s="39">
        <f>F39*(1-$B$15)+G39+J39+IF($B$19=1,D39*'1_Assumptions'!$E$29,0)-H39-(M39-$B$10)</f>
        <v/>
      </c>
      <c r="O39" s="39">
        <f>D39*(1+('1_Assumptions'!$E$12+$B39))</f>
        <v/>
      </c>
      <c r="P39" s="39">
        <f>O39*(1-'1_Assumptions'!$E$18)</f>
        <v/>
      </c>
      <c r="Q39" s="39">
        <f>O39-P39-O39*$B$11+O39*$B$12</f>
        <v/>
      </c>
      <c r="R39" s="39">
        <f>I39*$B$13</f>
        <v/>
      </c>
      <c r="S39" s="39">
        <f>O39*'1_Assumptions'!$E$24</f>
        <v/>
      </c>
      <c r="T39" s="39">
        <f>I39+S39-R39</f>
        <v/>
      </c>
      <c r="U39" s="39">
        <f>O39*$B$14</f>
        <v/>
      </c>
      <c r="V39" s="39">
        <f>K39-U39</f>
        <v/>
      </c>
      <c r="W39" s="39">
        <f>L39+O39*$B$16-L39/$B$18</f>
        <v/>
      </c>
      <c r="X39" s="39">
        <f>O39*'1_Assumptions'!$B$56/365+P39*'1_Assumptions'!$B$57/365+O39*'1_Assumptions'!$B$54-P39*'1_Assumptions'!$B$58/365-O39*'1_Assumptions'!$B$55</f>
        <v/>
      </c>
      <c r="Y39" s="39">
        <f>Q39*(1-$B$15)+R39+U39+IF($B$19=1,O39*'1_Assumptions'!$E$30,0)-S39-(X39-M39)</f>
        <v/>
      </c>
      <c r="Z39" s="39">
        <f>O39*(1+('1_Assumptions'!$E$13+$B39))</f>
        <v/>
      </c>
      <c r="AA39" s="39">
        <f>Z39*(1-'1_Assumptions'!$E$19)</f>
        <v/>
      </c>
      <c r="AB39" s="39">
        <f>Z39-AA39-Z39*$B$11+Z39*$B$12</f>
        <v/>
      </c>
      <c r="AC39" s="39">
        <f>T39*$B$13</f>
        <v/>
      </c>
      <c r="AD39" s="39">
        <f>Z39*'1_Assumptions'!$E$25</f>
        <v/>
      </c>
      <c r="AE39" s="39">
        <f>T39+AD39-AC39</f>
        <v/>
      </c>
      <c r="AF39" s="39">
        <f>Z39*$B$14</f>
        <v/>
      </c>
      <c r="AG39" s="39">
        <f>V39-AF39</f>
        <v/>
      </c>
      <c r="AH39" s="39">
        <f>W39+Z39*$B$16-W39/$B$18</f>
        <v/>
      </c>
      <c r="AI39" s="39">
        <f>Z39*'1_Assumptions'!$B$56/365+AA39*'1_Assumptions'!$B$57/365+Z39*'1_Assumptions'!$B$54-AA39*'1_Assumptions'!$B$58/365-Z39*'1_Assumptions'!$B$55</f>
        <v/>
      </c>
      <c r="AJ39" s="39">
        <f>AB39*(1-$B$15)+AC39+AF39+IF($B$19=1,Z39*'1_Assumptions'!$E$31,0)-AD39-(AI39-X39)</f>
        <v/>
      </c>
      <c r="AK39" s="39">
        <f>Z39*(1+('1_Assumptions'!$E$14+$B39))</f>
        <v/>
      </c>
      <c r="AL39" s="39">
        <f>AK39*(1-'1_Assumptions'!$E$20)</f>
        <v/>
      </c>
      <c r="AM39" s="39">
        <f>AK39-AL39-AK39*$B$11+AK39*$B$12</f>
        <v/>
      </c>
      <c r="AN39" s="39">
        <f>AE39*$B$13</f>
        <v/>
      </c>
      <c r="AO39" s="39">
        <f>AK39*'1_Assumptions'!$E$26</f>
        <v/>
      </c>
      <c r="AP39" s="39">
        <f>AE39+AO39-AN39</f>
        <v/>
      </c>
      <c r="AQ39" s="39">
        <f>AK39*$B$14</f>
        <v/>
      </c>
      <c r="AR39" s="39">
        <f>AG39-AQ39</f>
        <v/>
      </c>
      <c r="AS39" s="39">
        <f>AH39+AK39*$B$16-AH39/$B$18</f>
        <v/>
      </c>
      <c r="AT39" s="39">
        <f>AK39*'1_Assumptions'!$B$56/365+AL39*'1_Assumptions'!$B$57/365+AK39*'1_Assumptions'!$B$54-AL39*'1_Assumptions'!$B$58/365-AK39*'1_Assumptions'!$B$55</f>
        <v/>
      </c>
      <c r="AU39" s="39">
        <f>AM39*(1-$B$15)+AN39+AQ39+IF($B$19=1,AK39*'1_Assumptions'!$E$32,0)-AO39-(AT39-AI39)</f>
        <v/>
      </c>
      <c r="AV39" s="39">
        <f>AK39*(1+('1_Assumptions'!$E$15+$B39))</f>
        <v/>
      </c>
      <c r="AW39" s="39">
        <f>AV39*(1-'1_Assumptions'!$E$21)</f>
        <v/>
      </c>
      <c r="AX39" s="39">
        <f>AV39-AW39-AV39*$B$11+AV39*$B$12</f>
        <v/>
      </c>
      <c r="AY39" s="39">
        <f>AP39*$B$13</f>
        <v/>
      </c>
      <c r="AZ39" s="39">
        <f>AV39*'1_Assumptions'!$E$27</f>
        <v/>
      </c>
      <c r="BA39" s="39">
        <f>AP39+AZ39-AY39</f>
        <v/>
      </c>
      <c r="BB39" s="39">
        <f>AV39*$B$14</f>
        <v/>
      </c>
      <c r="BC39" s="39">
        <f>AR39-BB39</f>
        <v/>
      </c>
      <c r="BD39" s="39">
        <f>AS39+AV39*$B$16-AS39/$B$18</f>
        <v/>
      </c>
      <c r="BE39" s="39">
        <f>AV39*'1_Assumptions'!$B$56/365+AW39*'1_Assumptions'!$B$57/365+AV39*'1_Assumptions'!$B$54-AW39*'1_Assumptions'!$B$58/365-AV39*'1_Assumptions'!$B$55</f>
        <v/>
      </c>
      <c r="BF39" s="39">
        <f>AX39*(1-$B$15)+AY39+BB39+IF($B$19=1,AV39*'1_Assumptions'!$E$33,0)-AZ39-(BE39-AT39)</f>
        <v/>
      </c>
      <c r="BG39" s="39">
        <f>N39/(1+$B$21)^(1-0.5*$B$23)+Y39/(1+$B$21)^(2-0.5*$B$23)+AJ39/(1+$B$21)^(3-0.5*$B$23)+AU39/(1+$B$21)^(4-0.5*$B$23)+BF39/(1+$B$21)^(5-0.5*$B$23)</f>
        <v/>
      </c>
      <c r="BH39" s="39">
        <f>BE39+BA39+BC39+$B$9+IF($B$17=1,BD39,0)</f>
        <v/>
      </c>
      <c r="BI39" s="19">
        <f>IF($B$32=2,$B$21+$B$33,IF(BH39=0,0,BL39/BH39))</f>
        <v/>
      </c>
      <c r="BJ39" s="19">
        <f>IF(BI39=0,9,$C39/BI39)</f>
        <v/>
      </c>
      <c r="BK39" s="55">
        <f>IF(OR(BH39&lt;=0,BI39&lt;=$B$21,BJ39&gt;=1,BJ39&lt;0),1,0)</f>
        <v/>
      </c>
      <c r="BL39" s="39">
        <f>AX39*(1-$B$20)</f>
        <v/>
      </c>
      <c r="BM39" s="39">
        <f>IF(BK39=1,BL39,AX39*(1+$C39)*(1-$B$20)*(1-BJ39))</f>
        <v/>
      </c>
      <c r="BN39" s="39">
        <f>IF(BK39=1,BL39/$B$21,BM39/($B$21-$C39))</f>
        <v/>
      </c>
      <c r="BO39" s="39">
        <f>BN39/(1+$B$21)^(5-0.5*$B$23)</f>
        <v/>
      </c>
      <c r="BP39" s="39">
        <f>BG39+BO39</f>
        <v/>
      </c>
      <c r="BQ39" s="39">
        <f>BP39*(1+$B$21)^$B$24-N39*$B$24*(1+$B$21)^($B$24/2)</f>
        <v/>
      </c>
      <c r="BR39" s="39">
        <f>BQ39-$B$25+$B$26+$B$27</f>
        <v/>
      </c>
      <c r="BS39" s="39">
        <f>IF($B$28=1,$B$30,BR39*$B$29)</f>
        <v/>
      </c>
      <c r="BT39" s="39">
        <f>BR39-BS39</f>
        <v/>
      </c>
      <c r="BU39" s="58">
        <f>BT39/$B$31</f>
        <v/>
      </c>
    </row>
    <row r="40">
      <c r="A40" s="17" t="inlineStr">
        <is>
          <t>1-3</t>
        </is>
      </c>
      <c r="B40" s="26" t="n">
        <v>-0.06</v>
      </c>
      <c r="C40" s="26" t="n">
        <v>0.025</v>
      </c>
      <c r="D40" s="39">
        <f>$B$5*(1+('1_Assumptions'!$E$11+IF('1_Assumptions'!$B$39=1,0,$B40)))</f>
        <v/>
      </c>
      <c r="E40" s="39">
        <f>D40*(1-'1_Assumptions'!$E$17)</f>
        <v/>
      </c>
      <c r="F40" s="39">
        <f>D40-E40-D40*$B$11+D40*$B$12</f>
        <v/>
      </c>
      <c r="G40" s="39">
        <f>$B$6*$B$13</f>
        <v/>
      </c>
      <c r="H40" s="39">
        <f>D40*'1_Assumptions'!$E$23</f>
        <v/>
      </c>
      <c r="I40" s="39">
        <f>$B$6+H40-G40</f>
        <v/>
      </c>
      <c r="J40" s="39">
        <f>D40*$B$14</f>
        <v/>
      </c>
      <c r="K40" s="39">
        <f>$B$7-J40</f>
        <v/>
      </c>
      <c r="L40" s="39">
        <f>$B$8+D40*$B$16-$B$8/$B$18</f>
        <v/>
      </c>
      <c r="M40" s="39">
        <f>D40*'1_Assumptions'!$B$56/365+E40*'1_Assumptions'!$B$57/365+D40*'1_Assumptions'!$B$54-E40*'1_Assumptions'!$B$58/365-D40*'1_Assumptions'!$B$55</f>
        <v/>
      </c>
      <c r="N40" s="39">
        <f>F40*(1-$B$15)+G40+J40+IF($B$19=1,D40*'1_Assumptions'!$E$29,0)-H40-(M40-$B$10)</f>
        <v/>
      </c>
      <c r="O40" s="39">
        <f>D40*(1+('1_Assumptions'!$E$12+$B40))</f>
        <v/>
      </c>
      <c r="P40" s="39">
        <f>O40*(1-'1_Assumptions'!$E$18)</f>
        <v/>
      </c>
      <c r="Q40" s="39">
        <f>O40-P40-O40*$B$11+O40*$B$12</f>
        <v/>
      </c>
      <c r="R40" s="39">
        <f>I40*$B$13</f>
        <v/>
      </c>
      <c r="S40" s="39">
        <f>O40*'1_Assumptions'!$E$24</f>
        <v/>
      </c>
      <c r="T40" s="39">
        <f>I40+S40-R40</f>
        <v/>
      </c>
      <c r="U40" s="39">
        <f>O40*$B$14</f>
        <v/>
      </c>
      <c r="V40" s="39">
        <f>K40-U40</f>
        <v/>
      </c>
      <c r="W40" s="39">
        <f>L40+O40*$B$16-L40/$B$18</f>
        <v/>
      </c>
      <c r="X40" s="39">
        <f>O40*'1_Assumptions'!$B$56/365+P40*'1_Assumptions'!$B$57/365+O40*'1_Assumptions'!$B$54-P40*'1_Assumptions'!$B$58/365-O40*'1_Assumptions'!$B$55</f>
        <v/>
      </c>
      <c r="Y40" s="39">
        <f>Q40*(1-$B$15)+R40+U40+IF($B$19=1,O40*'1_Assumptions'!$E$30,0)-S40-(X40-M40)</f>
        <v/>
      </c>
      <c r="Z40" s="39">
        <f>O40*(1+('1_Assumptions'!$E$13+$B40))</f>
        <v/>
      </c>
      <c r="AA40" s="39">
        <f>Z40*(1-'1_Assumptions'!$E$19)</f>
        <v/>
      </c>
      <c r="AB40" s="39">
        <f>Z40-AA40-Z40*$B$11+Z40*$B$12</f>
        <v/>
      </c>
      <c r="AC40" s="39">
        <f>T40*$B$13</f>
        <v/>
      </c>
      <c r="AD40" s="39">
        <f>Z40*'1_Assumptions'!$E$25</f>
        <v/>
      </c>
      <c r="AE40" s="39">
        <f>T40+AD40-AC40</f>
        <v/>
      </c>
      <c r="AF40" s="39">
        <f>Z40*$B$14</f>
        <v/>
      </c>
      <c r="AG40" s="39">
        <f>V40-AF40</f>
        <v/>
      </c>
      <c r="AH40" s="39">
        <f>W40+Z40*$B$16-W40/$B$18</f>
        <v/>
      </c>
      <c r="AI40" s="39">
        <f>Z40*'1_Assumptions'!$B$56/365+AA40*'1_Assumptions'!$B$57/365+Z40*'1_Assumptions'!$B$54-AA40*'1_Assumptions'!$B$58/365-Z40*'1_Assumptions'!$B$55</f>
        <v/>
      </c>
      <c r="AJ40" s="39">
        <f>AB40*(1-$B$15)+AC40+AF40+IF($B$19=1,Z40*'1_Assumptions'!$E$31,0)-AD40-(AI40-X40)</f>
        <v/>
      </c>
      <c r="AK40" s="39">
        <f>Z40*(1+('1_Assumptions'!$E$14+$B40))</f>
        <v/>
      </c>
      <c r="AL40" s="39">
        <f>AK40*(1-'1_Assumptions'!$E$20)</f>
        <v/>
      </c>
      <c r="AM40" s="39">
        <f>AK40-AL40-AK40*$B$11+AK40*$B$12</f>
        <v/>
      </c>
      <c r="AN40" s="39">
        <f>AE40*$B$13</f>
        <v/>
      </c>
      <c r="AO40" s="39">
        <f>AK40*'1_Assumptions'!$E$26</f>
        <v/>
      </c>
      <c r="AP40" s="39">
        <f>AE40+AO40-AN40</f>
        <v/>
      </c>
      <c r="AQ40" s="39">
        <f>AK40*$B$14</f>
        <v/>
      </c>
      <c r="AR40" s="39">
        <f>AG40-AQ40</f>
        <v/>
      </c>
      <c r="AS40" s="39">
        <f>AH40+AK40*$B$16-AH40/$B$18</f>
        <v/>
      </c>
      <c r="AT40" s="39">
        <f>AK40*'1_Assumptions'!$B$56/365+AL40*'1_Assumptions'!$B$57/365+AK40*'1_Assumptions'!$B$54-AL40*'1_Assumptions'!$B$58/365-AK40*'1_Assumptions'!$B$55</f>
        <v/>
      </c>
      <c r="AU40" s="39">
        <f>AM40*(1-$B$15)+AN40+AQ40+IF($B$19=1,AK40*'1_Assumptions'!$E$32,0)-AO40-(AT40-AI40)</f>
        <v/>
      </c>
      <c r="AV40" s="39">
        <f>AK40*(1+('1_Assumptions'!$E$15+$B40))</f>
        <v/>
      </c>
      <c r="AW40" s="39">
        <f>AV40*(1-'1_Assumptions'!$E$21)</f>
        <v/>
      </c>
      <c r="AX40" s="39">
        <f>AV40-AW40-AV40*$B$11+AV40*$B$12</f>
        <v/>
      </c>
      <c r="AY40" s="39">
        <f>AP40*$B$13</f>
        <v/>
      </c>
      <c r="AZ40" s="39">
        <f>AV40*'1_Assumptions'!$E$27</f>
        <v/>
      </c>
      <c r="BA40" s="39">
        <f>AP40+AZ40-AY40</f>
        <v/>
      </c>
      <c r="BB40" s="39">
        <f>AV40*$B$14</f>
        <v/>
      </c>
      <c r="BC40" s="39">
        <f>AR40-BB40</f>
        <v/>
      </c>
      <c r="BD40" s="39">
        <f>AS40+AV40*$B$16-AS40/$B$18</f>
        <v/>
      </c>
      <c r="BE40" s="39">
        <f>AV40*'1_Assumptions'!$B$56/365+AW40*'1_Assumptions'!$B$57/365+AV40*'1_Assumptions'!$B$54-AW40*'1_Assumptions'!$B$58/365-AV40*'1_Assumptions'!$B$55</f>
        <v/>
      </c>
      <c r="BF40" s="39">
        <f>AX40*(1-$B$15)+AY40+BB40+IF($B$19=1,AV40*'1_Assumptions'!$E$33,0)-AZ40-(BE40-AT40)</f>
        <v/>
      </c>
      <c r="BG40" s="39">
        <f>N40/(1+$B$21)^(1-0.5*$B$23)+Y40/(1+$B$21)^(2-0.5*$B$23)+AJ40/(1+$B$21)^(3-0.5*$B$23)+AU40/(1+$B$21)^(4-0.5*$B$23)+BF40/(1+$B$21)^(5-0.5*$B$23)</f>
        <v/>
      </c>
      <c r="BH40" s="39">
        <f>BE40+BA40+BC40+$B$9+IF($B$17=1,BD40,0)</f>
        <v/>
      </c>
      <c r="BI40" s="19">
        <f>IF($B$32=2,$B$21+$B$33,IF(BH40=0,0,BL40/BH40))</f>
        <v/>
      </c>
      <c r="BJ40" s="19">
        <f>IF(BI40=0,9,$C40/BI40)</f>
        <v/>
      </c>
      <c r="BK40" s="55">
        <f>IF(OR(BH40&lt;=0,BI40&lt;=$B$21,BJ40&gt;=1,BJ40&lt;0),1,0)</f>
        <v/>
      </c>
      <c r="BL40" s="39">
        <f>AX40*(1-$B$20)</f>
        <v/>
      </c>
      <c r="BM40" s="39">
        <f>IF(BK40=1,BL40,AX40*(1+$C40)*(1-$B$20)*(1-BJ40))</f>
        <v/>
      </c>
      <c r="BN40" s="39">
        <f>IF(BK40=1,BL40/$B$21,BM40/($B$21-$C40))</f>
        <v/>
      </c>
      <c r="BO40" s="39">
        <f>BN40/(1+$B$21)^(5-0.5*$B$23)</f>
        <v/>
      </c>
      <c r="BP40" s="39">
        <f>BG40+BO40</f>
        <v/>
      </c>
      <c r="BQ40" s="39">
        <f>BP40*(1+$B$21)^$B$24-N40*$B$24*(1+$B$21)^($B$24/2)</f>
        <v/>
      </c>
      <c r="BR40" s="39">
        <f>BQ40-$B$25+$B$26+$B$27</f>
        <v/>
      </c>
      <c r="BS40" s="39">
        <f>IF($B$28=1,$B$30,BR40*$B$29)</f>
        <v/>
      </c>
      <c r="BT40" s="39">
        <f>BR40-BS40</f>
        <v/>
      </c>
      <c r="BU40" s="58">
        <f>BT40/$B$31</f>
        <v/>
      </c>
    </row>
    <row r="41">
      <c r="A41" s="17" t="inlineStr">
        <is>
          <t>1-4</t>
        </is>
      </c>
      <c r="B41" s="26" t="n">
        <v>-0.06</v>
      </c>
      <c r="C41" s="26" t="n">
        <v>0.0325</v>
      </c>
      <c r="D41" s="39">
        <f>$B$5*(1+('1_Assumptions'!$E$11+IF('1_Assumptions'!$B$39=1,0,$B41)))</f>
        <v/>
      </c>
      <c r="E41" s="39">
        <f>D41*(1-'1_Assumptions'!$E$17)</f>
        <v/>
      </c>
      <c r="F41" s="39">
        <f>D41-E41-D41*$B$11+D41*$B$12</f>
        <v/>
      </c>
      <c r="G41" s="39">
        <f>$B$6*$B$13</f>
        <v/>
      </c>
      <c r="H41" s="39">
        <f>D41*'1_Assumptions'!$E$23</f>
        <v/>
      </c>
      <c r="I41" s="39">
        <f>$B$6+H41-G41</f>
        <v/>
      </c>
      <c r="J41" s="39">
        <f>D41*$B$14</f>
        <v/>
      </c>
      <c r="K41" s="39">
        <f>$B$7-J41</f>
        <v/>
      </c>
      <c r="L41" s="39">
        <f>$B$8+D41*$B$16-$B$8/$B$18</f>
        <v/>
      </c>
      <c r="M41" s="39">
        <f>D41*'1_Assumptions'!$B$56/365+E41*'1_Assumptions'!$B$57/365+D41*'1_Assumptions'!$B$54-E41*'1_Assumptions'!$B$58/365-D41*'1_Assumptions'!$B$55</f>
        <v/>
      </c>
      <c r="N41" s="39">
        <f>F41*(1-$B$15)+G41+J41+IF($B$19=1,D41*'1_Assumptions'!$E$29,0)-H41-(M41-$B$10)</f>
        <v/>
      </c>
      <c r="O41" s="39">
        <f>D41*(1+('1_Assumptions'!$E$12+$B41))</f>
        <v/>
      </c>
      <c r="P41" s="39">
        <f>O41*(1-'1_Assumptions'!$E$18)</f>
        <v/>
      </c>
      <c r="Q41" s="39">
        <f>O41-P41-O41*$B$11+O41*$B$12</f>
        <v/>
      </c>
      <c r="R41" s="39">
        <f>I41*$B$13</f>
        <v/>
      </c>
      <c r="S41" s="39">
        <f>O41*'1_Assumptions'!$E$24</f>
        <v/>
      </c>
      <c r="T41" s="39">
        <f>I41+S41-R41</f>
        <v/>
      </c>
      <c r="U41" s="39">
        <f>O41*$B$14</f>
        <v/>
      </c>
      <c r="V41" s="39">
        <f>K41-U41</f>
        <v/>
      </c>
      <c r="W41" s="39">
        <f>L41+O41*$B$16-L41/$B$18</f>
        <v/>
      </c>
      <c r="X41" s="39">
        <f>O41*'1_Assumptions'!$B$56/365+P41*'1_Assumptions'!$B$57/365+O41*'1_Assumptions'!$B$54-P41*'1_Assumptions'!$B$58/365-O41*'1_Assumptions'!$B$55</f>
        <v/>
      </c>
      <c r="Y41" s="39">
        <f>Q41*(1-$B$15)+R41+U41+IF($B$19=1,O41*'1_Assumptions'!$E$30,0)-S41-(X41-M41)</f>
        <v/>
      </c>
      <c r="Z41" s="39">
        <f>O41*(1+('1_Assumptions'!$E$13+$B41))</f>
        <v/>
      </c>
      <c r="AA41" s="39">
        <f>Z41*(1-'1_Assumptions'!$E$19)</f>
        <v/>
      </c>
      <c r="AB41" s="39">
        <f>Z41-AA41-Z41*$B$11+Z41*$B$12</f>
        <v/>
      </c>
      <c r="AC41" s="39">
        <f>T41*$B$13</f>
        <v/>
      </c>
      <c r="AD41" s="39">
        <f>Z41*'1_Assumptions'!$E$25</f>
        <v/>
      </c>
      <c r="AE41" s="39">
        <f>T41+AD41-AC41</f>
        <v/>
      </c>
      <c r="AF41" s="39">
        <f>Z41*$B$14</f>
        <v/>
      </c>
      <c r="AG41" s="39">
        <f>V41-AF41</f>
        <v/>
      </c>
      <c r="AH41" s="39">
        <f>W41+Z41*$B$16-W41/$B$18</f>
        <v/>
      </c>
      <c r="AI41" s="39">
        <f>Z41*'1_Assumptions'!$B$56/365+AA41*'1_Assumptions'!$B$57/365+Z41*'1_Assumptions'!$B$54-AA41*'1_Assumptions'!$B$58/365-Z41*'1_Assumptions'!$B$55</f>
        <v/>
      </c>
      <c r="AJ41" s="39">
        <f>AB41*(1-$B$15)+AC41+AF41+IF($B$19=1,Z41*'1_Assumptions'!$E$31,0)-AD41-(AI41-X41)</f>
        <v/>
      </c>
      <c r="AK41" s="39">
        <f>Z41*(1+('1_Assumptions'!$E$14+$B41))</f>
        <v/>
      </c>
      <c r="AL41" s="39">
        <f>AK41*(1-'1_Assumptions'!$E$20)</f>
        <v/>
      </c>
      <c r="AM41" s="39">
        <f>AK41-AL41-AK41*$B$11+AK41*$B$12</f>
        <v/>
      </c>
      <c r="AN41" s="39">
        <f>AE41*$B$13</f>
        <v/>
      </c>
      <c r="AO41" s="39">
        <f>AK41*'1_Assumptions'!$E$26</f>
        <v/>
      </c>
      <c r="AP41" s="39">
        <f>AE41+AO41-AN41</f>
        <v/>
      </c>
      <c r="AQ41" s="39">
        <f>AK41*$B$14</f>
        <v/>
      </c>
      <c r="AR41" s="39">
        <f>AG41-AQ41</f>
        <v/>
      </c>
      <c r="AS41" s="39">
        <f>AH41+AK41*$B$16-AH41/$B$18</f>
        <v/>
      </c>
      <c r="AT41" s="39">
        <f>AK41*'1_Assumptions'!$B$56/365+AL41*'1_Assumptions'!$B$57/365+AK41*'1_Assumptions'!$B$54-AL41*'1_Assumptions'!$B$58/365-AK41*'1_Assumptions'!$B$55</f>
        <v/>
      </c>
      <c r="AU41" s="39">
        <f>AM41*(1-$B$15)+AN41+AQ41+IF($B$19=1,AK41*'1_Assumptions'!$E$32,0)-AO41-(AT41-AI41)</f>
        <v/>
      </c>
      <c r="AV41" s="39">
        <f>AK41*(1+('1_Assumptions'!$E$15+$B41))</f>
        <v/>
      </c>
      <c r="AW41" s="39">
        <f>AV41*(1-'1_Assumptions'!$E$21)</f>
        <v/>
      </c>
      <c r="AX41" s="39">
        <f>AV41-AW41-AV41*$B$11+AV41*$B$12</f>
        <v/>
      </c>
      <c r="AY41" s="39">
        <f>AP41*$B$13</f>
        <v/>
      </c>
      <c r="AZ41" s="39">
        <f>AV41*'1_Assumptions'!$E$27</f>
        <v/>
      </c>
      <c r="BA41" s="39">
        <f>AP41+AZ41-AY41</f>
        <v/>
      </c>
      <c r="BB41" s="39">
        <f>AV41*$B$14</f>
        <v/>
      </c>
      <c r="BC41" s="39">
        <f>AR41-BB41</f>
        <v/>
      </c>
      <c r="BD41" s="39">
        <f>AS41+AV41*$B$16-AS41/$B$18</f>
        <v/>
      </c>
      <c r="BE41" s="39">
        <f>AV41*'1_Assumptions'!$B$56/365+AW41*'1_Assumptions'!$B$57/365+AV41*'1_Assumptions'!$B$54-AW41*'1_Assumptions'!$B$58/365-AV41*'1_Assumptions'!$B$55</f>
        <v/>
      </c>
      <c r="BF41" s="39">
        <f>AX41*(1-$B$15)+AY41+BB41+IF($B$19=1,AV41*'1_Assumptions'!$E$33,0)-AZ41-(BE41-AT41)</f>
        <v/>
      </c>
      <c r="BG41" s="39">
        <f>N41/(1+$B$21)^(1-0.5*$B$23)+Y41/(1+$B$21)^(2-0.5*$B$23)+AJ41/(1+$B$21)^(3-0.5*$B$23)+AU41/(1+$B$21)^(4-0.5*$B$23)+BF41/(1+$B$21)^(5-0.5*$B$23)</f>
        <v/>
      </c>
      <c r="BH41" s="39">
        <f>BE41+BA41+BC41+$B$9+IF($B$17=1,BD41,0)</f>
        <v/>
      </c>
      <c r="BI41" s="19">
        <f>IF($B$32=2,$B$21+$B$33,IF(BH41=0,0,BL41/BH41))</f>
        <v/>
      </c>
      <c r="BJ41" s="19">
        <f>IF(BI41=0,9,$C41/BI41)</f>
        <v/>
      </c>
      <c r="BK41" s="55">
        <f>IF(OR(BH41&lt;=0,BI41&lt;=$B$21,BJ41&gt;=1,BJ41&lt;0),1,0)</f>
        <v/>
      </c>
      <c r="BL41" s="39">
        <f>AX41*(1-$B$20)</f>
        <v/>
      </c>
      <c r="BM41" s="39">
        <f>IF(BK41=1,BL41,AX41*(1+$C41)*(1-$B$20)*(1-BJ41))</f>
        <v/>
      </c>
      <c r="BN41" s="39">
        <f>IF(BK41=1,BL41/$B$21,BM41/($B$21-$C41))</f>
        <v/>
      </c>
      <c r="BO41" s="39">
        <f>BN41/(1+$B$21)^(5-0.5*$B$23)</f>
        <v/>
      </c>
      <c r="BP41" s="39">
        <f>BG41+BO41</f>
        <v/>
      </c>
      <c r="BQ41" s="39">
        <f>BP41*(1+$B$21)^$B$24-N41*$B$24*(1+$B$21)^($B$24/2)</f>
        <v/>
      </c>
      <c r="BR41" s="39">
        <f>BQ41-$B$25+$B$26+$B$27</f>
        <v/>
      </c>
      <c r="BS41" s="39">
        <f>IF($B$28=1,$B$30,BR41*$B$29)</f>
        <v/>
      </c>
      <c r="BT41" s="39">
        <f>BR41-BS41</f>
        <v/>
      </c>
      <c r="BU41" s="58">
        <f>BT41/$B$31</f>
        <v/>
      </c>
    </row>
    <row r="42">
      <c r="A42" s="17" t="inlineStr">
        <is>
          <t>1-5</t>
        </is>
      </c>
      <c r="B42" s="26" t="n">
        <v>-0.06</v>
      </c>
      <c r="C42" s="26" t="n">
        <v>0.04</v>
      </c>
      <c r="D42" s="39">
        <f>$B$5*(1+('1_Assumptions'!$E$11+IF('1_Assumptions'!$B$39=1,0,$B42)))</f>
        <v/>
      </c>
      <c r="E42" s="39">
        <f>D42*(1-'1_Assumptions'!$E$17)</f>
        <v/>
      </c>
      <c r="F42" s="39">
        <f>D42-E42-D42*$B$11+D42*$B$12</f>
        <v/>
      </c>
      <c r="G42" s="39">
        <f>$B$6*$B$13</f>
        <v/>
      </c>
      <c r="H42" s="39">
        <f>D42*'1_Assumptions'!$E$23</f>
        <v/>
      </c>
      <c r="I42" s="39">
        <f>$B$6+H42-G42</f>
        <v/>
      </c>
      <c r="J42" s="39">
        <f>D42*$B$14</f>
        <v/>
      </c>
      <c r="K42" s="39">
        <f>$B$7-J42</f>
        <v/>
      </c>
      <c r="L42" s="39">
        <f>$B$8+D42*$B$16-$B$8/$B$18</f>
        <v/>
      </c>
      <c r="M42" s="39">
        <f>D42*'1_Assumptions'!$B$56/365+E42*'1_Assumptions'!$B$57/365+D42*'1_Assumptions'!$B$54-E42*'1_Assumptions'!$B$58/365-D42*'1_Assumptions'!$B$55</f>
        <v/>
      </c>
      <c r="N42" s="39">
        <f>F42*(1-$B$15)+G42+J42+IF($B$19=1,D42*'1_Assumptions'!$E$29,0)-H42-(M42-$B$10)</f>
        <v/>
      </c>
      <c r="O42" s="39">
        <f>D42*(1+('1_Assumptions'!$E$12+$B42))</f>
        <v/>
      </c>
      <c r="P42" s="39">
        <f>O42*(1-'1_Assumptions'!$E$18)</f>
        <v/>
      </c>
      <c r="Q42" s="39">
        <f>O42-P42-O42*$B$11+O42*$B$12</f>
        <v/>
      </c>
      <c r="R42" s="39">
        <f>I42*$B$13</f>
        <v/>
      </c>
      <c r="S42" s="39">
        <f>O42*'1_Assumptions'!$E$24</f>
        <v/>
      </c>
      <c r="T42" s="39">
        <f>I42+S42-R42</f>
        <v/>
      </c>
      <c r="U42" s="39">
        <f>O42*$B$14</f>
        <v/>
      </c>
      <c r="V42" s="39">
        <f>K42-U42</f>
        <v/>
      </c>
      <c r="W42" s="39">
        <f>L42+O42*$B$16-L42/$B$18</f>
        <v/>
      </c>
      <c r="X42" s="39">
        <f>O42*'1_Assumptions'!$B$56/365+P42*'1_Assumptions'!$B$57/365+O42*'1_Assumptions'!$B$54-P42*'1_Assumptions'!$B$58/365-O42*'1_Assumptions'!$B$55</f>
        <v/>
      </c>
      <c r="Y42" s="39">
        <f>Q42*(1-$B$15)+R42+U42+IF($B$19=1,O42*'1_Assumptions'!$E$30,0)-S42-(X42-M42)</f>
        <v/>
      </c>
      <c r="Z42" s="39">
        <f>O42*(1+('1_Assumptions'!$E$13+$B42))</f>
        <v/>
      </c>
      <c r="AA42" s="39">
        <f>Z42*(1-'1_Assumptions'!$E$19)</f>
        <v/>
      </c>
      <c r="AB42" s="39">
        <f>Z42-AA42-Z42*$B$11+Z42*$B$12</f>
        <v/>
      </c>
      <c r="AC42" s="39">
        <f>T42*$B$13</f>
        <v/>
      </c>
      <c r="AD42" s="39">
        <f>Z42*'1_Assumptions'!$E$25</f>
        <v/>
      </c>
      <c r="AE42" s="39">
        <f>T42+AD42-AC42</f>
        <v/>
      </c>
      <c r="AF42" s="39">
        <f>Z42*$B$14</f>
        <v/>
      </c>
      <c r="AG42" s="39">
        <f>V42-AF42</f>
        <v/>
      </c>
      <c r="AH42" s="39">
        <f>W42+Z42*$B$16-W42/$B$18</f>
        <v/>
      </c>
      <c r="AI42" s="39">
        <f>Z42*'1_Assumptions'!$B$56/365+AA42*'1_Assumptions'!$B$57/365+Z42*'1_Assumptions'!$B$54-AA42*'1_Assumptions'!$B$58/365-Z42*'1_Assumptions'!$B$55</f>
        <v/>
      </c>
      <c r="AJ42" s="39">
        <f>AB42*(1-$B$15)+AC42+AF42+IF($B$19=1,Z42*'1_Assumptions'!$E$31,0)-AD42-(AI42-X42)</f>
        <v/>
      </c>
      <c r="AK42" s="39">
        <f>Z42*(1+('1_Assumptions'!$E$14+$B42))</f>
        <v/>
      </c>
      <c r="AL42" s="39">
        <f>AK42*(1-'1_Assumptions'!$E$20)</f>
        <v/>
      </c>
      <c r="AM42" s="39">
        <f>AK42-AL42-AK42*$B$11+AK42*$B$12</f>
        <v/>
      </c>
      <c r="AN42" s="39">
        <f>AE42*$B$13</f>
        <v/>
      </c>
      <c r="AO42" s="39">
        <f>AK42*'1_Assumptions'!$E$26</f>
        <v/>
      </c>
      <c r="AP42" s="39">
        <f>AE42+AO42-AN42</f>
        <v/>
      </c>
      <c r="AQ42" s="39">
        <f>AK42*$B$14</f>
        <v/>
      </c>
      <c r="AR42" s="39">
        <f>AG42-AQ42</f>
        <v/>
      </c>
      <c r="AS42" s="39">
        <f>AH42+AK42*$B$16-AH42/$B$18</f>
        <v/>
      </c>
      <c r="AT42" s="39">
        <f>AK42*'1_Assumptions'!$B$56/365+AL42*'1_Assumptions'!$B$57/365+AK42*'1_Assumptions'!$B$54-AL42*'1_Assumptions'!$B$58/365-AK42*'1_Assumptions'!$B$55</f>
        <v/>
      </c>
      <c r="AU42" s="39">
        <f>AM42*(1-$B$15)+AN42+AQ42+IF($B$19=1,AK42*'1_Assumptions'!$E$32,0)-AO42-(AT42-AI42)</f>
        <v/>
      </c>
      <c r="AV42" s="39">
        <f>AK42*(1+('1_Assumptions'!$E$15+$B42))</f>
        <v/>
      </c>
      <c r="AW42" s="39">
        <f>AV42*(1-'1_Assumptions'!$E$21)</f>
        <v/>
      </c>
      <c r="AX42" s="39">
        <f>AV42-AW42-AV42*$B$11+AV42*$B$12</f>
        <v/>
      </c>
      <c r="AY42" s="39">
        <f>AP42*$B$13</f>
        <v/>
      </c>
      <c r="AZ42" s="39">
        <f>AV42*'1_Assumptions'!$E$27</f>
        <v/>
      </c>
      <c r="BA42" s="39">
        <f>AP42+AZ42-AY42</f>
        <v/>
      </c>
      <c r="BB42" s="39">
        <f>AV42*$B$14</f>
        <v/>
      </c>
      <c r="BC42" s="39">
        <f>AR42-BB42</f>
        <v/>
      </c>
      <c r="BD42" s="39">
        <f>AS42+AV42*$B$16-AS42/$B$18</f>
        <v/>
      </c>
      <c r="BE42" s="39">
        <f>AV42*'1_Assumptions'!$B$56/365+AW42*'1_Assumptions'!$B$57/365+AV42*'1_Assumptions'!$B$54-AW42*'1_Assumptions'!$B$58/365-AV42*'1_Assumptions'!$B$55</f>
        <v/>
      </c>
      <c r="BF42" s="39">
        <f>AX42*(1-$B$15)+AY42+BB42+IF($B$19=1,AV42*'1_Assumptions'!$E$33,0)-AZ42-(BE42-AT42)</f>
        <v/>
      </c>
      <c r="BG42" s="39">
        <f>N42/(1+$B$21)^(1-0.5*$B$23)+Y42/(1+$B$21)^(2-0.5*$B$23)+AJ42/(1+$B$21)^(3-0.5*$B$23)+AU42/(1+$B$21)^(4-0.5*$B$23)+BF42/(1+$B$21)^(5-0.5*$B$23)</f>
        <v/>
      </c>
      <c r="BH42" s="39">
        <f>BE42+BA42+BC42+$B$9+IF($B$17=1,BD42,0)</f>
        <v/>
      </c>
      <c r="BI42" s="19">
        <f>IF($B$32=2,$B$21+$B$33,IF(BH42=0,0,BL42/BH42))</f>
        <v/>
      </c>
      <c r="BJ42" s="19">
        <f>IF(BI42=0,9,$C42/BI42)</f>
        <v/>
      </c>
      <c r="BK42" s="55">
        <f>IF(OR(BH42&lt;=0,BI42&lt;=$B$21,BJ42&gt;=1,BJ42&lt;0),1,0)</f>
        <v/>
      </c>
      <c r="BL42" s="39">
        <f>AX42*(1-$B$20)</f>
        <v/>
      </c>
      <c r="BM42" s="39">
        <f>IF(BK42=1,BL42,AX42*(1+$C42)*(1-$B$20)*(1-BJ42))</f>
        <v/>
      </c>
      <c r="BN42" s="39">
        <f>IF(BK42=1,BL42/$B$21,BM42/($B$21-$C42))</f>
        <v/>
      </c>
      <c r="BO42" s="39">
        <f>BN42/(1+$B$21)^(5-0.5*$B$23)</f>
        <v/>
      </c>
      <c r="BP42" s="39">
        <f>BG42+BO42</f>
        <v/>
      </c>
      <c r="BQ42" s="39">
        <f>BP42*(1+$B$21)^$B$24-N42*$B$24*(1+$B$21)^($B$24/2)</f>
        <v/>
      </c>
      <c r="BR42" s="39">
        <f>BQ42-$B$25+$B$26+$B$27</f>
        <v/>
      </c>
      <c r="BS42" s="39">
        <f>IF($B$28=1,$B$30,BR42*$B$29)</f>
        <v/>
      </c>
      <c r="BT42" s="39">
        <f>BR42-BS42</f>
        <v/>
      </c>
      <c r="BU42" s="58">
        <f>BT42/$B$31</f>
        <v/>
      </c>
    </row>
    <row r="43">
      <c r="A43" s="17" t="inlineStr">
        <is>
          <t>2-1</t>
        </is>
      </c>
      <c r="B43" s="26" t="n">
        <v>-0.03</v>
      </c>
      <c r="C43" s="26" t="n">
        <v>0.01</v>
      </c>
      <c r="D43" s="39">
        <f>$B$5*(1+('1_Assumptions'!$E$11+IF('1_Assumptions'!$B$39=1,0,$B43)))</f>
        <v/>
      </c>
      <c r="E43" s="39">
        <f>D43*(1-'1_Assumptions'!$E$17)</f>
        <v/>
      </c>
      <c r="F43" s="39">
        <f>D43-E43-D43*$B$11+D43*$B$12</f>
        <v/>
      </c>
      <c r="G43" s="39">
        <f>$B$6*$B$13</f>
        <v/>
      </c>
      <c r="H43" s="39">
        <f>D43*'1_Assumptions'!$E$23</f>
        <v/>
      </c>
      <c r="I43" s="39">
        <f>$B$6+H43-G43</f>
        <v/>
      </c>
      <c r="J43" s="39">
        <f>D43*$B$14</f>
        <v/>
      </c>
      <c r="K43" s="39">
        <f>$B$7-J43</f>
        <v/>
      </c>
      <c r="L43" s="39">
        <f>$B$8+D43*$B$16-$B$8/$B$18</f>
        <v/>
      </c>
      <c r="M43" s="39">
        <f>D43*'1_Assumptions'!$B$56/365+E43*'1_Assumptions'!$B$57/365+D43*'1_Assumptions'!$B$54-E43*'1_Assumptions'!$B$58/365-D43*'1_Assumptions'!$B$55</f>
        <v/>
      </c>
      <c r="N43" s="39">
        <f>F43*(1-$B$15)+G43+J43+IF($B$19=1,D43*'1_Assumptions'!$E$29,0)-H43-(M43-$B$10)</f>
        <v/>
      </c>
      <c r="O43" s="39">
        <f>D43*(1+('1_Assumptions'!$E$12+$B43))</f>
        <v/>
      </c>
      <c r="P43" s="39">
        <f>O43*(1-'1_Assumptions'!$E$18)</f>
        <v/>
      </c>
      <c r="Q43" s="39">
        <f>O43-P43-O43*$B$11+O43*$B$12</f>
        <v/>
      </c>
      <c r="R43" s="39">
        <f>I43*$B$13</f>
        <v/>
      </c>
      <c r="S43" s="39">
        <f>O43*'1_Assumptions'!$E$24</f>
        <v/>
      </c>
      <c r="T43" s="39">
        <f>I43+S43-R43</f>
        <v/>
      </c>
      <c r="U43" s="39">
        <f>O43*$B$14</f>
        <v/>
      </c>
      <c r="V43" s="39">
        <f>K43-U43</f>
        <v/>
      </c>
      <c r="W43" s="39">
        <f>L43+O43*$B$16-L43/$B$18</f>
        <v/>
      </c>
      <c r="X43" s="39">
        <f>O43*'1_Assumptions'!$B$56/365+P43*'1_Assumptions'!$B$57/365+O43*'1_Assumptions'!$B$54-P43*'1_Assumptions'!$B$58/365-O43*'1_Assumptions'!$B$55</f>
        <v/>
      </c>
      <c r="Y43" s="39">
        <f>Q43*(1-$B$15)+R43+U43+IF($B$19=1,O43*'1_Assumptions'!$E$30,0)-S43-(X43-M43)</f>
        <v/>
      </c>
      <c r="Z43" s="39">
        <f>O43*(1+('1_Assumptions'!$E$13+$B43))</f>
        <v/>
      </c>
      <c r="AA43" s="39">
        <f>Z43*(1-'1_Assumptions'!$E$19)</f>
        <v/>
      </c>
      <c r="AB43" s="39">
        <f>Z43-AA43-Z43*$B$11+Z43*$B$12</f>
        <v/>
      </c>
      <c r="AC43" s="39">
        <f>T43*$B$13</f>
        <v/>
      </c>
      <c r="AD43" s="39">
        <f>Z43*'1_Assumptions'!$E$25</f>
        <v/>
      </c>
      <c r="AE43" s="39">
        <f>T43+AD43-AC43</f>
        <v/>
      </c>
      <c r="AF43" s="39">
        <f>Z43*$B$14</f>
        <v/>
      </c>
      <c r="AG43" s="39">
        <f>V43-AF43</f>
        <v/>
      </c>
      <c r="AH43" s="39">
        <f>W43+Z43*$B$16-W43/$B$18</f>
        <v/>
      </c>
      <c r="AI43" s="39">
        <f>Z43*'1_Assumptions'!$B$56/365+AA43*'1_Assumptions'!$B$57/365+Z43*'1_Assumptions'!$B$54-AA43*'1_Assumptions'!$B$58/365-Z43*'1_Assumptions'!$B$55</f>
        <v/>
      </c>
      <c r="AJ43" s="39">
        <f>AB43*(1-$B$15)+AC43+AF43+IF($B$19=1,Z43*'1_Assumptions'!$E$31,0)-AD43-(AI43-X43)</f>
        <v/>
      </c>
      <c r="AK43" s="39">
        <f>Z43*(1+('1_Assumptions'!$E$14+$B43))</f>
        <v/>
      </c>
      <c r="AL43" s="39">
        <f>AK43*(1-'1_Assumptions'!$E$20)</f>
        <v/>
      </c>
      <c r="AM43" s="39">
        <f>AK43-AL43-AK43*$B$11+AK43*$B$12</f>
        <v/>
      </c>
      <c r="AN43" s="39">
        <f>AE43*$B$13</f>
        <v/>
      </c>
      <c r="AO43" s="39">
        <f>AK43*'1_Assumptions'!$E$26</f>
        <v/>
      </c>
      <c r="AP43" s="39">
        <f>AE43+AO43-AN43</f>
        <v/>
      </c>
      <c r="AQ43" s="39">
        <f>AK43*$B$14</f>
        <v/>
      </c>
      <c r="AR43" s="39">
        <f>AG43-AQ43</f>
        <v/>
      </c>
      <c r="AS43" s="39">
        <f>AH43+AK43*$B$16-AH43/$B$18</f>
        <v/>
      </c>
      <c r="AT43" s="39">
        <f>AK43*'1_Assumptions'!$B$56/365+AL43*'1_Assumptions'!$B$57/365+AK43*'1_Assumptions'!$B$54-AL43*'1_Assumptions'!$B$58/365-AK43*'1_Assumptions'!$B$55</f>
        <v/>
      </c>
      <c r="AU43" s="39">
        <f>AM43*(1-$B$15)+AN43+AQ43+IF($B$19=1,AK43*'1_Assumptions'!$E$32,0)-AO43-(AT43-AI43)</f>
        <v/>
      </c>
      <c r="AV43" s="39">
        <f>AK43*(1+('1_Assumptions'!$E$15+$B43))</f>
        <v/>
      </c>
      <c r="AW43" s="39">
        <f>AV43*(1-'1_Assumptions'!$E$21)</f>
        <v/>
      </c>
      <c r="AX43" s="39">
        <f>AV43-AW43-AV43*$B$11+AV43*$B$12</f>
        <v/>
      </c>
      <c r="AY43" s="39">
        <f>AP43*$B$13</f>
        <v/>
      </c>
      <c r="AZ43" s="39">
        <f>AV43*'1_Assumptions'!$E$27</f>
        <v/>
      </c>
      <c r="BA43" s="39">
        <f>AP43+AZ43-AY43</f>
        <v/>
      </c>
      <c r="BB43" s="39">
        <f>AV43*$B$14</f>
        <v/>
      </c>
      <c r="BC43" s="39">
        <f>AR43-BB43</f>
        <v/>
      </c>
      <c r="BD43" s="39">
        <f>AS43+AV43*$B$16-AS43/$B$18</f>
        <v/>
      </c>
      <c r="BE43" s="39">
        <f>AV43*'1_Assumptions'!$B$56/365+AW43*'1_Assumptions'!$B$57/365+AV43*'1_Assumptions'!$B$54-AW43*'1_Assumptions'!$B$58/365-AV43*'1_Assumptions'!$B$55</f>
        <v/>
      </c>
      <c r="BF43" s="39">
        <f>AX43*(1-$B$15)+AY43+BB43+IF($B$19=1,AV43*'1_Assumptions'!$E$33,0)-AZ43-(BE43-AT43)</f>
        <v/>
      </c>
      <c r="BG43" s="39">
        <f>N43/(1+$B$21)^(1-0.5*$B$23)+Y43/(1+$B$21)^(2-0.5*$B$23)+AJ43/(1+$B$21)^(3-0.5*$B$23)+AU43/(1+$B$21)^(4-0.5*$B$23)+BF43/(1+$B$21)^(5-0.5*$B$23)</f>
        <v/>
      </c>
      <c r="BH43" s="39">
        <f>BE43+BA43+BC43+$B$9+IF($B$17=1,BD43,0)</f>
        <v/>
      </c>
      <c r="BI43" s="19">
        <f>IF($B$32=2,$B$21+$B$33,IF(BH43=0,0,BL43/BH43))</f>
        <v/>
      </c>
      <c r="BJ43" s="19">
        <f>IF(BI43=0,9,$C43/BI43)</f>
        <v/>
      </c>
      <c r="BK43" s="55">
        <f>IF(OR(BH43&lt;=0,BI43&lt;=$B$21,BJ43&gt;=1,BJ43&lt;0),1,0)</f>
        <v/>
      </c>
      <c r="BL43" s="39">
        <f>AX43*(1-$B$20)</f>
        <v/>
      </c>
      <c r="BM43" s="39">
        <f>IF(BK43=1,BL43,AX43*(1+$C43)*(1-$B$20)*(1-BJ43))</f>
        <v/>
      </c>
      <c r="BN43" s="39">
        <f>IF(BK43=1,BL43/$B$21,BM43/($B$21-$C43))</f>
        <v/>
      </c>
      <c r="BO43" s="39">
        <f>BN43/(1+$B$21)^(5-0.5*$B$23)</f>
        <v/>
      </c>
      <c r="BP43" s="39">
        <f>BG43+BO43</f>
        <v/>
      </c>
      <c r="BQ43" s="39">
        <f>BP43*(1+$B$21)^$B$24-N43*$B$24*(1+$B$21)^($B$24/2)</f>
        <v/>
      </c>
      <c r="BR43" s="39">
        <f>BQ43-$B$25+$B$26+$B$27</f>
        <v/>
      </c>
      <c r="BS43" s="39">
        <f>IF($B$28=1,$B$30,BR43*$B$29)</f>
        <v/>
      </c>
      <c r="BT43" s="39">
        <f>BR43-BS43</f>
        <v/>
      </c>
      <c r="BU43" s="58">
        <f>BT43/$B$31</f>
        <v/>
      </c>
    </row>
    <row r="44">
      <c r="A44" s="17" t="inlineStr">
        <is>
          <t>2-2</t>
        </is>
      </c>
      <c r="B44" s="26" t="n">
        <v>-0.03</v>
      </c>
      <c r="C44" s="26" t="n">
        <v>0.0175</v>
      </c>
      <c r="D44" s="39">
        <f>$B$5*(1+('1_Assumptions'!$E$11+IF('1_Assumptions'!$B$39=1,0,$B44)))</f>
        <v/>
      </c>
      <c r="E44" s="39">
        <f>D44*(1-'1_Assumptions'!$E$17)</f>
        <v/>
      </c>
      <c r="F44" s="39">
        <f>D44-E44-D44*$B$11+D44*$B$12</f>
        <v/>
      </c>
      <c r="G44" s="39">
        <f>$B$6*$B$13</f>
        <v/>
      </c>
      <c r="H44" s="39">
        <f>D44*'1_Assumptions'!$E$23</f>
        <v/>
      </c>
      <c r="I44" s="39">
        <f>$B$6+H44-G44</f>
        <v/>
      </c>
      <c r="J44" s="39">
        <f>D44*$B$14</f>
        <v/>
      </c>
      <c r="K44" s="39">
        <f>$B$7-J44</f>
        <v/>
      </c>
      <c r="L44" s="39">
        <f>$B$8+D44*$B$16-$B$8/$B$18</f>
        <v/>
      </c>
      <c r="M44" s="39">
        <f>D44*'1_Assumptions'!$B$56/365+E44*'1_Assumptions'!$B$57/365+D44*'1_Assumptions'!$B$54-E44*'1_Assumptions'!$B$58/365-D44*'1_Assumptions'!$B$55</f>
        <v/>
      </c>
      <c r="N44" s="39">
        <f>F44*(1-$B$15)+G44+J44+IF($B$19=1,D44*'1_Assumptions'!$E$29,0)-H44-(M44-$B$10)</f>
        <v/>
      </c>
      <c r="O44" s="39">
        <f>D44*(1+('1_Assumptions'!$E$12+$B44))</f>
        <v/>
      </c>
      <c r="P44" s="39">
        <f>O44*(1-'1_Assumptions'!$E$18)</f>
        <v/>
      </c>
      <c r="Q44" s="39">
        <f>O44-P44-O44*$B$11+O44*$B$12</f>
        <v/>
      </c>
      <c r="R44" s="39">
        <f>I44*$B$13</f>
        <v/>
      </c>
      <c r="S44" s="39">
        <f>O44*'1_Assumptions'!$E$24</f>
        <v/>
      </c>
      <c r="T44" s="39">
        <f>I44+S44-R44</f>
        <v/>
      </c>
      <c r="U44" s="39">
        <f>O44*$B$14</f>
        <v/>
      </c>
      <c r="V44" s="39">
        <f>K44-U44</f>
        <v/>
      </c>
      <c r="W44" s="39">
        <f>L44+O44*$B$16-L44/$B$18</f>
        <v/>
      </c>
      <c r="X44" s="39">
        <f>O44*'1_Assumptions'!$B$56/365+P44*'1_Assumptions'!$B$57/365+O44*'1_Assumptions'!$B$54-P44*'1_Assumptions'!$B$58/365-O44*'1_Assumptions'!$B$55</f>
        <v/>
      </c>
      <c r="Y44" s="39">
        <f>Q44*(1-$B$15)+R44+U44+IF($B$19=1,O44*'1_Assumptions'!$E$30,0)-S44-(X44-M44)</f>
        <v/>
      </c>
      <c r="Z44" s="39">
        <f>O44*(1+('1_Assumptions'!$E$13+$B44))</f>
        <v/>
      </c>
      <c r="AA44" s="39">
        <f>Z44*(1-'1_Assumptions'!$E$19)</f>
        <v/>
      </c>
      <c r="AB44" s="39">
        <f>Z44-AA44-Z44*$B$11+Z44*$B$12</f>
        <v/>
      </c>
      <c r="AC44" s="39">
        <f>T44*$B$13</f>
        <v/>
      </c>
      <c r="AD44" s="39">
        <f>Z44*'1_Assumptions'!$E$25</f>
        <v/>
      </c>
      <c r="AE44" s="39">
        <f>T44+AD44-AC44</f>
        <v/>
      </c>
      <c r="AF44" s="39">
        <f>Z44*$B$14</f>
        <v/>
      </c>
      <c r="AG44" s="39">
        <f>V44-AF44</f>
        <v/>
      </c>
      <c r="AH44" s="39">
        <f>W44+Z44*$B$16-W44/$B$18</f>
        <v/>
      </c>
      <c r="AI44" s="39">
        <f>Z44*'1_Assumptions'!$B$56/365+AA44*'1_Assumptions'!$B$57/365+Z44*'1_Assumptions'!$B$54-AA44*'1_Assumptions'!$B$58/365-Z44*'1_Assumptions'!$B$55</f>
        <v/>
      </c>
      <c r="AJ44" s="39">
        <f>AB44*(1-$B$15)+AC44+AF44+IF($B$19=1,Z44*'1_Assumptions'!$E$31,0)-AD44-(AI44-X44)</f>
        <v/>
      </c>
      <c r="AK44" s="39">
        <f>Z44*(1+('1_Assumptions'!$E$14+$B44))</f>
        <v/>
      </c>
      <c r="AL44" s="39">
        <f>AK44*(1-'1_Assumptions'!$E$20)</f>
        <v/>
      </c>
      <c r="AM44" s="39">
        <f>AK44-AL44-AK44*$B$11+AK44*$B$12</f>
        <v/>
      </c>
      <c r="AN44" s="39">
        <f>AE44*$B$13</f>
        <v/>
      </c>
      <c r="AO44" s="39">
        <f>AK44*'1_Assumptions'!$E$26</f>
        <v/>
      </c>
      <c r="AP44" s="39">
        <f>AE44+AO44-AN44</f>
        <v/>
      </c>
      <c r="AQ44" s="39">
        <f>AK44*$B$14</f>
        <v/>
      </c>
      <c r="AR44" s="39">
        <f>AG44-AQ44</f>
        <v/>
      </c>
      <c r="AS44" s="39">
        <f>AH44+AK44*$B$16-AH44/$B$18</f>
        <v/>
      </c>
      <c r="AT44" s="39">
        <f>AK44*'1_Assumptions'!$B$56/365+AL44*'1_Assumptions'!$B$57/365+AK44*'1_Assumptions'!$B$54-AL44*'1_Assumptions'!$B$58/365-AK44*'1_Assumptions'!$B$55</f>
        <v/>
      </c>
      <c r="AU44" s="39">
        <f>AM44*(1-$B$15)+AN44+AQ44+IF($B$19=1,AK44*'1_Assumptions'!$E$32,0)-AO44-(AT44-AI44)</f>
        <v/>
      </c>
      <c r="AV44" s="39">
        <f>AK44*(1+('1_Assumptions'!$E$15+$B44))</f>
        <v/>
      </c>
      <c r="AW44" s="39">
        <f>AV44*(1-'1_Assumptions'!$E$21)</f>
        <v/>
      </c>
      <c r="AX44" s="39">
        <f>AV44-AW44-AV44*$B$11+AV44*$B$12</f>
        <v/>
      </c>
      <c r="AY44" s="39">
        <f>AP44*$B$13</f>
        <v/>
      </c>
      <c r="AZ44" s="39">
        <f>AV44*'1_Assumptions'!$E$27</f>
        <v/>
      </c>
      <c r="BA44" s="39">
        <f>AP44+AZ44-AY44</f>
        <v/>
      </c>
      <c r="BB44" s="39">
        <f>AV44*$B$14</f>
        <v/>
      </c>
      <c r="BC44" s="39">
        <f>AR44-BB44</f>
        <v/>
      </c>
      <c r="BD44" s="39">
        <f>AS44+AV44*$B$16-AS44/$B$18</f>
        <v/>
      </c>
      <c r="BE44" s="39">
        <f>AV44*'1_Assumptions'!$B$56/365+AW44*'1_Assumptions'!$B$57/365+AV44*'1_Assumptions'!$B$54-AW44*'1_Assumptions'!$B$58/365-AV44*'1_Assumptions'!$B$55</f>
        <v/>
      </c>
      <c r="BF44" s="39">
        <f>AX44*(1-$B$15)+AY44+BB44+IF($B$19=1,AV44*'1_Assumptions'!$E$33,0)-AZ44-(BE44-AT44)</f>
        <v/>
      </c>
      <c r="BG44" s="39">
        <f>N44/(1+$B$21)^(1-0.5*$B$23)+Y44/(1+$B$21)^(2-0.5*$B$23)+AJ44/(1+$B$21)^(3-0.5*$B$23)+AU44/(1+$B$21)^(4-0.5*$B$23)+BF44/(1+$B$21)^(5-0.5*$B$23)</f>
        <v/>
      </c>
      <c r="BH44" s="39">
        <f>BE44+BA44+BC44+$B$9+IF($B$17=1,BD44,0)</f>
        <v/>
      </c>
      <c r="BI44" s="19">
        <f>IF($B$32=2,$B$21+$B$33,IF(BH44=0,0,BL44/BH44))</f>
        <v/>
      </c>
      <c r="BJ44" s="19">
        <f>IF(BI44=0,9,$C44/BI44)</f>
        <v/>
      </c>
      <c r="BK44" s="55">
        <f>IF(OR(BH44&lt;=0,BI44&lt;=$B$21,BJ44&gt;=1,BJ44&lt;0),1,0)</f>
        <v/>
      </c>
      <c r="BL44" s="39">
        <f>AX44*(1-$B$20)</f>
        <v/>
      </c>
      <c r="BM44" s="39">
        <f>IF(BK44=1,BL44,AX44*(1+$C44)*(1-$B$20)*(1-BJ44))</f>
        <v/>
      </c>
      <c r="BN44" s="39">
        <f>IF(BK44=1,BL44/$B$21,BM44/($B$21-$C44))</f>
        <v/>
      </c>
      <c r="BO44" s="39">
        <f>BN44/(1+$B$21)^(5-0.5*$B$23)</f>
        <v/>
      </c>
      <c r="BP44" s="39">
        <f>BG44+BO44</f>
        <v/>
      </c>
      <c r="BQ44" s="39">
        <f>BP44*(1+$B$21)^$B$24-N44*$B$24*(1+$B$21)^($B$24/2)</f>
        <v/>
      </c>
      <c r="BR44" s="39">
        <f>BQ44-$B$25+$B$26+$B$27</f>
        <v/>
      </c>
      <c r="BS44" s="39">
        <f>IF($B$28=1,$B$30,BR44*$B$29)</f>
        <v/>
      </c>
      <c r="BT44" s="39">
        <f>BR44-BS44</f>
        <v/>
      </c>
      <c r="BU44" s="58">
        <f>BT44/$B$31</f>
        <v/>
      </c>
    </row>
    <row r="45">
      <c r="A45" s="17" t="inlineStr">
        <is>
          <t>2-3</t>
        </is>
      </c>
      <c r="B45" s="26" t="n">
        <v>-0.03</v>
      </c>
      <c r="C45" s="26" t="n">
        <v>0.025</v>
      </c>
      <c r="D45" s="39">
        <f>$B$5*(1+('1_Assumptions'!$E$11+IF('1_Assumptions'!$B$39=1,0,$B45)))</f>
        <v/>
      </c>
      <c r="E45" s="39">
        <f>D45*(1-'1_Assumptions'!$E$17)</f>
        <v/>
      </c>
      <c r="F45" s="39">
        <f>D45-E45-D45*$B$11+D45*$B$12</f>
        <v/>
      </c>
      <c r="G45" s="39">
        <f>$B$6*$B$13</f>
        <v/>
      </c>
      <c r="H45" s="39">
        <f>D45*'1_Assumptions'!$E$23</f>
        <v/>
      </c>
      <c r="I45" s="39">
        <f>$B$6+H45-G45</f>
        <v/>
      </c>
      <c r="J45" s="39">
        <f>D45*$B$14</f>
        <v/>
      </c>
      <c r="K45" s="39">
        <f>$B$7-J45</f>
        <v/>
      </c>
      <c r="L45" s="39">
        <f>$B$8+D45*$B$16-$B$8/$B$18</f>
        <v/>
      </c>
      <c r="M45" s="39">
        <f>D45*'1_Assumptions'!$B$56/365+E45*'1_Assumptions'!$B$57/365+D45*'1_Assumptions'!$B$54-E45*'1_Assumptions'!$B$58/365-D45*'1_Assumptions'!$B$55</f>
        <v/>
      </c>
      <c r="N45" s="39">
        <f>F45*(1-$B$15)+G45+J45+IF($B$19=1,D45*'1_Assumptions'!$E$29,0)-H45-(M45-$B$10)</f>
        <v/>
      </c>
      <c r="O45" s="39">
        <f>D45*(1+('1_Assumptions'!$E$12+$B45))</f>
        <v/>
      </c>
      <c r="P45" s="39">
        <f>O45*(1-'1_Assumptions'!$E$18)</f>
        <v/>
      </c>
      <c r="Q45" s="39">
        <f>O45-P45-O45*$B$11+O45*$B$12</f>
        <v/>
      </c>
      <c r="R45" s="39">
        <f>I45*$B$13</f>
        <v/>
      </c>
      <c r="S45" s="39">
        <f>O45*'1_Assumptions'!$E$24</f>
        <v/>
      </c>
      <c r="T45" s="39">
        <f>I45+S45-R45</f>
        <v/>
      </c>
      <c r="U45" s="39">
        <f>O45*$B$14</f>
        <v/>
      </c>
      <c r="V45" s="39">
        <f>K45-U45</f>
        <v/>
      </c>
      <c r="W45" s="39">
        <f>L45+O45*$B$16-L45/$B$18</f>
        <v/>
      </c>
      <c r="X45" s="39">
        <f>O45*'1_Assumptions'!$B$56/365+P45*'1_Assumptions'!$B$57/365+O45*'1_Assumptions'!$B$54-P45*'1_Assumptions'!$B$58/365-O45*'1_Assumptions'!$B$55</f>
        <v/>
      </c>
      <c r="Y45" s="39">
        <f>Q45*(1-$B$15)+R45+U45+IF($B$19=1,O45*'1_Assumptions'!$E$30,0)-S45-(X45-M45)</f>
        <v/>
      </c>
      <c r="Z45" s="39">
        <f>O45*(1+('1_Assumptions'!$E$13+$B45))</f>
        <v/>
      </c>
      <c r="AA45" s="39">
        <f>Z45*(1-'1_Assumptions'!$E$19)</f>
        <v/>
      </c>
      <c r="AB45" s="39">
        <f>Z45-AA45-Z45*$B$11+Z45*$B$12</f>
        <v/>
      </c>
      <c r="AC45" s="39">
        <f>T45*$B$13</f>
        <v/>
      </c>
      <c r="AD45" s="39">
        <f>Z45*'1_Assumptions'!$E$25</f>
        <v/>
      </c>
      <c r="AE45" s="39">
        <f>T45+AD45-AC45</f>
        <v/>
      </c>
      <c r="AF45" s="39">
        <f>Z45*$B$14</f>
        <v/>
      </c>
      <c r="AG45" s="39">
        <f>V45-AF45</f>
        <v/>
      </c>
      <c r="AH45" s="39">
        <f>W45+Z45*$B$16-W45/$B$18</f>
        <v/>
      </c>
      <c r="AI45" s="39">
        <f>Z45*'1_Assumptions'!$B$56/365+AA45*'1_Assumptions'!$B$57/365+Z45*'1_Assumptions'!$B$54-AA45*'1_Assumptions'!$B$58/365-Z45*'1_Assumptions'!$B$55</f>
        <v/>
      </c>
      <c r="AJ45" s="39">
        <f>AB45*(1-$B$15)+AC45+AF45+IF($B$19=1,Z45*'1_Assumptions'!$E$31,0)-AD45-(AI45-X45)</f>
        <v/>
      </c>
      <c r="AK45" s="39">
        <f>Z45*(1+('1_Assumptions'!$E$14+$B45))</f>
        <v/>
      </c>
      <c r="AL45" s="39">
        <f>AK45*(1-'1_Assumptions'!$E$20)</f>
        <v/>
      </c>
      <c r="AM45" s="39">
        <f>AK45-AL45-AK45*$B$11+AK45*$B$12</f>
        <v/>
      </c>
      <c r="AN45" s="39">
        <f>AE45*$B$13</f>
        <v/>
      </c>
      <c r="AO45" s="39">
        <f>AK45*'1_Assumptions'!$E$26</f>
        <v/>
      </c>
      <c r="AP45" s="39">
        <f>AE45+AO45-AN45</f>
        <v/>
      </c>
      <c r="AQ45" s="39">
        <f>AK45*$B$14</f>
        <v/>
      </c>
      <c r="AR45" s="39">
        <f>AG45-AQ45</f>
        <v/>
      </c>
      <c r="AS45" s="39">
        <f>AH45+AK45*$B$16-AH45/$B$18</f>
        <v/>
      </c>
      <c r="AT45" s="39">
        <f>AK45*'1_Assumptions'!$B$56/365+AL45*'1_Assumptions'!$B$57/365+AK45*'1_Assumptions'!$B$54-AL45*'1_Assumptions'!$B$58/365-AK45*'1_Assumptions'!$B$55</f>
        <v/>
      </c>
      <c r="AU45" s="39">
        <f>AM45*(1-$B$15)+AN45+AQ45+IF($B$19=1,AK45*'1_Assumptions'!$E$32,0)-AO45-(AT45-AI45)</f>
        <v/>
      </c>
      <c r="AV45" s="39">
        <f>AK45*(1+('1_Assumptions'!$E$15+$B45))</f>
        <v/>
      </c>
      <c r="AW45" s="39">
        <f>AV45*(1-'1_Assumptions'!$E$21)</f>
        <v/>
      </c>
      <c r="AX45" s="39">
        <f>AV45-AW45-AV45*$B$11+AV45*$B$12</f>
        <v/>
      </c>
      <c r="AY45" s="39">
        <f>AP45*$B$13</f>
        <v/>
      </c>
      <c r="AZ45" s="39">
        <f>AV45*'1_Assumptions'!$E$27</f>
        <v/>
      </c>
      <c r="BA45" s="39">
        <f>AP45+AZ45-AY45</f>
        <v/>
      </c>
      <c r="BB45" s="39">
        <f>AV45*$B$14</f>
        <v/>
      </c>
      <c r="BC45" s="39">
        <f>AR45-BB45</f>
        <v/>
      </c>
      <c r="BD45" s="39">
        <f>AS45+AV45*$B$16-AS45/$B$18</f>
        <v/>
      </c>
      <c r="BE45" s="39">
        <f>AV45*'1_Assumptions'!$B$56/365+AW45*'1_Assumptions'!$B$57/365+AV45*'1_Assumptions'!$B$54-AW45*'1_Assumptions'!$B$58/365-AV45*'1_Assumptions'!$B$55</f>
        <v/>
      </c>
      <c r="BF45" s="39">
        <f>AX45*(1-$B$15)+AY45+BB45+IF($B$19=1,AV45*'1_Assumptions'!$E$33,0)-AZ45-(BE45-AT45)</f>
        <v/>
      </c>
      <c r="BG45" s="39">
        <f>N45/(1+$B$21)^(1-0.5*$B$23)+Y45/(1+$B$21)^(2-0.5*$B$23)+AJ45/(1+$B$21)^(3-0.5*$B$23)+AU45/(1+$B$21)^(4-0.5*$B$23)+BF45/(1+$B$21)^(5-0.5*$B$23)</f>
        <v/>
      </c>
      <c r="BH45" s="39">
        <f>BE45+BA45+BC45+$B$9+IF($B$17=1,BD45,0)</f>
        <v/>
      </c>
      <c r="BI45" s="19">
        <f>IF($B$32=2,$B$21+$B$33,IF(BH45=0,0,BL45/BH45))</f>
        <v/>
      </c>
      <c r="BJ45" s="19">
        <f>IF(BI45=0,9,$C45/BI45)</f>
        <v/>
      </c>
      <c r="BK45" s="55">
        <f>IF(OR(BH45&lt;=0,BI45&lt;=$B$21,BJ45&gt;=1,BJ45&lt;0),1,0)</f>
        <v/>
      </c>
      <c r="BL45" s="39">
        <f>AX45*(1-$B$20)</f>
        <v/>
      </c>
      <c r="BM45" s="39">
        <f>IF(BK45=1,BL45,AX45*(1+$C45)*(1-$B$20)*(1-BJ45))</f>
        <v/>
      </c>
      <c r="BN45" s="39">
        <f>IF(BK45=1,BL45/$B$21,BM45/($B$21-$C45))</f>
        <v/>
      </c>
      <c r="BO45" s="39">
        <f>BN45/(1+$B$21)^(5-0.5*$B$23)</f>
        <v/>
      </c>
      <c r="BP45" s="39">
        <f>BG45+BO45</f>
        <v/>
      </c>
      <c r="BQ45" s="39">
        <f>BP45*(1+$B$21)^$B$24-N45*$B$24*(1+$B$21)^($B$24/2)</f>
        <v/>
      </c>
      <c r="BR45" s="39">
        <f>BQ45-$B$25+$B$26+$B$27</f>
        <v/>
      </c>
      <c r="BS45" s="39">
        <f>IF($B$28=1,$B$30,BR45*$B$29)</f>
        <v/>
      </c>
      <c r="BT45" s="39">
        <f>BR45-BS45</f>
        <v/>
      </c>
      <c r="BU45" s="58">
        <f>BT45/$B$31</f>
        <v/>
      </c>
    </row>
    <row r="46">
      <c r="A46" s="17" t="inlineStr">
        <is>
          <t>2-4</t>
        </is>
      </c>
      <c r="B46" s="26" t="n">
        <v>-0.03</v>
      </c>
      <c r="C46" s="26" t="n">
        <v>0.0325</v>
      </c>
      <c r="D46" s="39">
        <f>$B$5*(1+('1_Assumptions'!$E$11+IF('1_Assumptions'!$B$39=1,0,$B46)))</f>
        <v/>
      </c>
      <c r="E46" s="39">
        <f>D46*(1-'1_Assumptions'!$E$17)</f>
        <v/>
      </c>
      <c r="F46" s="39">
        <f>D46-E46-D46*$B$11+D46*$B$12</f>
        <v/>
      </c>
      <c r="G46" s="39">
        <f>$B$6*$B$13</f>
        <v/>
      </c>
      <c r="H46" s="39">
        <f>D46*'1_Assumptions'!$E$23</f>
        <v/>
      </c>
      <c r="I46" s="39">
        <f>$B$6+H46-G46</f>
        <v/>
      </c>
      <c r="J46" s="39">
        <f>D46*$B$14</f>
        <v/>
      </c>
      <c r="K46" s="39">
        <f>$B$7-J46</f>
        <v/>
      </c>
      <c r="L46" s="39">
        <f>$B$8+D46*$B$16-$B$8/$B$18</f>
        <v/>
      </c>
      <c r="M46" s="39">
        <f>D46*'1_Assumptions'!$B$56/365+E46*'1_Assumptions'!$B$57/365+D46*'1_Assumptions'!$B$54-E46*'1_Assumptions'!$B$58/365-D46*'1_Assumptions'!$B$55</f>
        <v/>
      </c>
      <c r="N46" s="39">
        <f>F46*(1-$B$15)+G46+J46+IF($B$19=1,D46*'1_Assumptions'!$E$29,0)-H46-(M46-$B$10)</f>
        <v/>
      </c>
      <c r="O46" s="39">
        <f>D46*(1+('1_Assumptions'!$E$12+$B46))</f>
        <v/>
      </c>
      <c r="P46" s="39">
        <f>O46*(1-'1_Assumptions'!$E$18)</f>
        <v/>
      </c>
      <c r="Q46" s="39">
        <f>O46-P46-O46*$B$11+O46*$B$12</f>
        <v/>
      </c>
      <c r="R46" s="39">
        <f>I46*$B$13</f>
        <v/>
      </c>
      <c r="S46" s="39">
        <f>O46*'1_Assumptions'!$E$24</f>
        <v/>
      </c>
      <c r="T46" s="39">
        <f>I46+S46-R46</f>
        <v/>
      </c>
      <c r="U46" s="39">
        <f>O46*$B$14</f>
        <v/>
      </c>
      <c r="V46" s="39">
        <f>K46-U46</f>
        <v/>
      </c>
      <c r="W46" s="39">
        <f>L46+O46*$B$16-L46/$B$18</f>
        <v/>
      </c>
      <c r="X46" s="39">
        <f>O46*'1_Assumptions'!$B$56/365+P46*'1_Assumptions'!$B$57/365+O46*'1_Assumptions'!$B$54-P46*'1_Assumptions'!$B$58/365-O46*'1_Assumptions'!$B$55</f>
        <v/>
      </c>
      <c r="Y46" s="39">
        <f>Q46*(1-$B$15)+R46+U46+IF($B$19=1,O46*'1_Assumptions'!$E$30,0)-S46-(X46-M46)</f>
        <v/>
      </c>
      <c r="Z46" s="39">
        <f>O46*(1+('1_Assumptions'!$E$13+$B46))</f>
        <v/>
      </c>
      <c r="AA46" s="39">
        <f>Z46*(1-'1_Assumptions'!$E$19)</f>
        <v/>
      </c>
      <c r="AB46" s="39">
        <f>Z46-AA46-Z46*$B$11+Z46*$B$12</f>
        <v/>
      </c>
      <c r="AC46" s="39">
        <f>T46*$B$13</f>
        <v/>
      </c>
      <c r="AD46" s="39">
        <f>Z46*'1_Assumptions'!$E$25</f>
        <v/>
      </c>
      <c r="AE46" s="39">
        <f>T46+AD46-AC46</f>
        <v/>
      </c>
      <c r="AF46" s="39">
        <f>Z46*$B$14</f>
        <v/>
      </c>
      <c r="AG46" s="39">
        <f>V46-AF46</f>
        <v/>
      </c>
      <c r="AH46" s="39">
        <f>W46+Z46*$B$16-W46/$B$18</f>
        <v/>
      </c>
      <c r="AI46" s="39">
        <f>Z46*'1_Assumptions'!$B$56/365+AA46*'1_Assumptions'!$B$57/365+Z46*'1_Assumptions'!$B$54-AA46*'1_Assumptions'!$B$58/365-Z46*'1_Assumptions'!$B$55</f>
        <v/>
      </c>
      <c r="AJ46" s="39">
        <f>AB46*(1-$B$15)+AC46+AF46+IF($B$19=1,Z46*'1_Assumptions'!$E$31,0)-AD46-(AI46-X46)</f>
        <v/>
      </c>
      <c r="AK46" s="39">
        <f>Z46*(1+('1_Assumptions'!$E$14+$B46))</f>
        <v/>
      </c>
      <c r="AL46" s="39">
        <f>AK46*(1-'1_Assumptions'!$E$20)</f>
        <v/>
      </c>
      <c r="AM46" s="39">
        <f>AK46-AL46-AK46*$B$11+AK46*$B$12</f>
        <v/>
      </c>
      <c r="AN46" s="39">
        <f>AE46*$B$13</f>
        <v/>
      </c>
      <c r="AO46" s="39">
        <f>AK46*'1_Assumptions'!$E$26</f>
        <v/>
      </c>
      <c r="AP46" s="39">
        <f>AE46+AO46-AN46</f>
        <v/>
      </c>
      <c r="AQ46" s="39">
        <f>AK46*$B$14</f>
        <v/>
      </c>
      <c r="AR46" s="39">
        <f>AG46-AQ46</f>
        <v/>
      </c>
      <c r="AS46" s="39">
        <f>AH46+AK46*$B$16-AH46/$B$18</f>
        <v/>
      </c>
      <c r="AT46" s="39">
        <f>AK46*'1_Assumptions'!$B$56/365+AL46*'1_Assumptions'!$B$57/365+AK46*'1_Assumptions'!$B$54-AL46*'1_Assumptions'!$B$58/365-AK46*'1_Assumptions'!$B$55</f>
        <v/>
      </c>
      <c r="AU46" s="39">
        <f>AM46*(1-$B$15)+AN46+AQ46+IF($B$19=1,AK46*'1_Assumptions'!$E$32,0)-AO46-(AT46-AI46)</f>
        <v/>
      </c>
      <c r="AV46" s="39">
        <f>AK46*(1+('1_Assumptions'!$E$15+$B46))</f>
        <v/>
      </c>
      <c r="AW46" s="39">
        <f>AV46*(1-'1_Assumptions'!$E$21)</f>
        <v/>
      </c>
      <c r="AX46" s="39">
        <f>AV46-AW46-AV46*$B$11+AV46*$B$12</f>
        <v/>
      </c>
      <c r="AY46" s="39">
        <f>AP46*$B$13</f>
        <v/>
      </c>
      <c r="AZ46" s="39">
        <f>AV46*'1_Assumptions'!$E$27</f>
        <v/>
      </c>
      <c r="BA46" s="39">
        <f>AP46+AZ46-AY46</f>
        <v/>
      </c>
      <c r="BB46" s="39">
        <f>AV46*$B$14</f>
        <v/>
      </c>
      <c r="BC46" s="39">
        <f>AR46-BB46</f>
        <v/>
      </c>
      <c r="BD46" s="39">
        <f>AS46+AV46*$B$16-AS46/$B$18</f>
        <v/>
      </c>
      <c r="BE46" s="39">
        <f>AV46*'1_Assumptions'!$B$56/365+AW46*'1_Assumptions'!$B$57/365+AV46*'1_Assumptions'!$B$54-AW46*'1_Assumptions'!$B$58/365-AV46*'1_Assumptions'!$B$55</f>
        <v/>
      </c>
      <c r="BF46" s="39">
        <f>AX46*(1-$B$15)+AY46+BB46+IF($B$19=1,AV46*'1_Assumptions'!$E$33,0)-AZ46-(BE46-AT46)</f>
        <v/>
      </c>
      <c r="BG46" s="39">
        <f>N46/(1+$B$21)^(1-0.5*$B$23)+Y46/(1+$B$21)^(2-0.5*$B$23)+AJ46/(1+$B$21)^(3-0.5*$B$23)+AU46/(1+$B$21)^(4-0.5*$B$23)+BF46/(1+$B$21)^(5-0.5*$B$23)</f>
        <v/>
      </c>
      <c r="BH46" s="39">
        <f>BE46+BA46+BC46+$B$9+IF($B$17=1,BD46,0)</f>
        <v/>
      </c>
      <c r="BI46" s="19">
        <f>IF($B$32=2,$B$21+$B$33,IF(BH46=0,0,BL46/BH46))</f>
        <v/>
      </c>
      <c r="BJ46" s="19">
        <f>IF(BI46=0,9,$C46/BI46)</f>
        <v/>
      </c>
      <c r="BK46" s="55">
        <f>IF(OR(BH46&lt;=0,BI46&lt;=$B$21,BJ46&gt;=1,BJ46&lt;0),1,0)</f>
        <v/>
      </c>
      <c r="BL46" s="39">
        <f>AX46*(1-$B$20)</f>
        <v/>
      </c>
      <c r="BM46" s="39">
        <f>IF(BK46=1,BL46,AX46*(1+$C46)*(1-$B$20)*(1-BJ46))</f>
        <v/>
      </c>
      <c r="BN46" s="39">
        <f>IF(BK46=1,BL46/$B$21,BM46/($B$21-$C46))</f>
        <v/>
      </c>
      <c r="BO46" s="39">
        <f>BN46/(1+$B$21)^(5-0.5*$B$23)</f>
        <v/>
      </c>
      <c r="BP46" s="39">
        <f>BG46+BO46</f>
        <v/>
      </c>
      <c r="BQ46" s="39">
        <f>BP46*(1+$B$21)^$B$24-N46*$B$24*(1+$B$21)^($B$24/2)</f>
        <v/>
      </c>
      <c r="BR46" s="39">
        <f>BQ46-$B$25+$B$26+$B$27</f>
        <v/>
      </c>
      <c r="BS46" s="39">
        <f>IF($B$28=1,$B$30,BR46*$B$29)</f>
        <v/>
      </c>
      <c r="BT46" s="39">
        <f>BR46-BS46</f>
        <v/>
      </c>
      <c r="BU46" s="58">
        <f>BT46/$B$31</f>
        <v/>
      </c>
    </row>
    <row r="47">
      <c r="A47" s="17" t="inlineStr">
        <is>
          <t>2-5</t>
        </is>
      </c>
      <c r="B47" s="26" t="n">
        <v>-0.03</v>
      </c>
      <c r="C47" s="26" t="n">
        <v>0.04</v>
      </c>
      <c r="D47" s="39">
        <f>$B$5*(1+('1_Assumptions'!$E$11+IF('1_Assumptions'!$B$39=1,0,$B47)))</f>
        <v/>
      </c>
      <c r="E47" s="39">
        <f>D47*(1-'1_Assumptions'!$E$17)</f>
        <v/>
      </c>
      <c r="F47" s="39">
        <f>D47-E47-D47*$B$11+D47*$B$12</f>
        <v/>
      </c>
      <c r="G47" s="39">
        <f>$B$6*$B$13</f>
        <v/>
      </c>
      <c r="H47" s="39">
        <f>D47*'1_Assumptions'!$E$23</f>
        <v/>
      </c>
      <c r="I47" s="39">
        <f>$B$6+H47-G47</f>
        <v/>
      </c>
      <c r="J47" s="39">
        <f>D47*$B$14</f>
        <v/>
      </c>
      <c r="K47" s="39">
        <f>$B$7-J47</f>
        <v/>
      </c>
      <c r="L47" s="39">
        <f>$B$8+D47*$B$16-$B$8/$B$18</f>
        <v/>
      </c>
      <c r="M47" s="39">
        <f>D47*'1_Assumptions'!$B$56/365+E47*'1_Assumptions'!$B$57/365+D47*'1_Assumptions'!$B$54-E47*'1_Assumptions'!$B$58/365-D47*'1_Assumptions'!$B$55</f>
        <v/>
      </c>
      <c r="N47" s="39">
        <f>F47*(1-$B$15)+G47+J47+IF($B$19=1,D47*'1_Assumptions'!$E$29,0)-H47-(M47-$B$10)</f>
        <v/>
      </c>
      <c r="O47" s="39">
        <f>D47*(1+('1_Assumptions'!$E$12+$B47))</f>
        <v/>
      </c>
      <c r="P47" s="39">
        <f>O47*(1-'1_Assumptions'!$E$18)</f>
        <v/>
      </c>
      <c r="Q47" s="39">
        <f>O47-P47-O47*$B$11+O47*$B$12</f>
        <v/>
      </c>
      <c r="R47" s="39">
        <f>I47*$B$13</f>
        <v/>
      </c>
      <c r="S47" s="39">
        <f>O47*'1_Assumptions'!$E$24</f>
        <v/>
      </c>
      <c r="T47" s="39">
        <f>I47+S47-R47</f>
        <v/>
      </c>
      <c r="U47" s="39">
        <f>O47*$B$14</f>
        <v/>
      </c>
      <c r="V47" s="39">
        <f>K47-U47</f>
        <v/>
      </c>
      <c r="W47" s="39">
        <f>L47+O47*$B$16-L47/$B$18</f>
        <v/>
      </c>
      <c r="X47" s="39">
        <f>O47*'1_Assumptions'!$B$56/365+P47*'1_Assumptions'!$B$57/365+O47*'1_Assumptions'!$B$54-P47*'1_Assumptions'!$B$58/365-O47*'1_Assumptions'!$B$55</f>
        <v/>
      </c>
      <c r="Y47" s="39">
        <f>Q47*(1-$B$15)+R47+U47+IF($B$19=1,O47*'1_Assumptions'!$E$30,0)-S47-(X47-M47)</f>
        <v/>
      </c>
      <c r="Z47" s="39">
        <f>O47*(1+('1_Assumptions'!$E$13+$B47))</f>
        <v/>
      </c>
      <c r="AA47" s="39">
        <f>Z47*(1-'1_Assumptions'!$E$19)</f>
        <v/>
      </c>
      <c r="AB47" s="39">
        <f>Z47-AA47-Z47*$B$11+Z47*$B$12</f>
        <v/>
      </c>
      <c r="AC47" s="39">
        <f>T47*$B$13</f>
        <v/>
      </c>
      <c r="AD47" s="39">
        <f>Z47*'1_Assumptions'!$E$25</f>
        <v/>
      </c>
      <c r="AE47" s="39">
        <f>T47+AD47-AC47</f>
        <v/>
      </c>
      <c r="AF47" s="39">
        <f>Z47*$B$14</f>
        <v/>
      </c>
      <c r="AG47" s="39">
        <f>V47-AF47</f>
        <v/>
      </c>
      <c r="AH47" s="39">
        <f>W47+Z47*$B$16-W47/$B$18</f>
        <v/>
      </c>
      <c r="AI47" s="39">
        <f>Z47*'1_Assumptions'!$B$56/365+AA47*'1_Assumptions'!$B$57/365+Z47*'1_Assumptions'!$B$54-AA47*'1_Assumptions'!$B$58/365-Z47*'1_Assumptions'!$B$55</f>
        <v/>
      </c>
      <c r="AJ47" s="39">
        <f>AB47*(1-$B$15)+AC47+AF47+IF($B$19=1,Z47*'1_Assumptions'!$E$31,0)-AD47-(AI47-X47)</f>
        <v/>
      </c>
      <c r="AK47" s="39">
        <f>Z47*(1+('1_Assumptions'!$E$14+$B47))</f>
        <v/>
      </c>
      <c r="AL47" s="39">
        <f>AK47*(1-'1_Assumptions'!$E$20)</f>
        <v/>
      </c>
      <c r="AM47" s="39">
        <f>AK47-AL47-AK47*$B$11+AK47*$B$12</f>
        <v/>
      </c>
      <c r="AN47" s="39">
        <f>AE47*$B$13</f>
        <v/>
      </c>
      <c r="AO47" s="39">
        <f>AK47*'1_Assumptions'!$E$26</f>
        <v/>
      </c>
      <c r="AP47" s="39">
        <f>AE47+AO47-AN47</f>
        <v/>
      </c>
      <c r="AQ47" s="39">
        <f>AK47*$B$14</f>
        <v/>
      </c>
      <c r="AR47" s="39">
        <f>AG47-AQ47</f>
        <v/>
      </c>
      <c r="AS47" s="39">
        <f>AH47+AK47*$B$16-AH47/$B$18</f>
        <v/>
      </c>
      <c r="AT47" s="39">
        <f>AK47*'1_Assumptions'!$B$56/365+AL47*'1_Assumptions'!$B$57/365+AK47*'1_Assumptions'!$B$54-AL47*'1_Assumptions'!$B$58/365-AK47*'1_Assumptions'!$B$55</f>
        <v/>
      </c>
      <c r="AU47" s="39">
        <f>AM47*(1-$B$15)+AN47+AQ47+IF($B$19=1,AK47*'1_Assumptions'!$E$32,0)-AO47-(AT47-AI47)</f>
        <v/>
      </c>
      <c r="AV47" s="39">
        <f>AK47*(1+('1_Assumptions'!$E$15+$B47))</f>
        <v/>
      </c>
      <c r="AW47" s="39">
        <f>AV47*(1-'1_Assumptions'!$E$21)</f>
        <v/>
      </c>
      <c r="AX47" s="39">
        <f>AV47-AW47-AV47*$B$11+AV47*$B$12</f>
        <v/>
      </c>
      <c r="AY47" s="39">
        <f>AP47*$B$13</f>
        <v/>
      </c>
      <c r="AZ47" s="39">
        <f>AV47*'1_Assumptions'!$E$27</f>
        <v/>
      </c>
      <c r="BA47" s="39">
        <f>AP47+AZ47-AY47</f>
        <v/>
      </c>
      <c r="BB47" s="39">
        <f>AV47*$B$14</f>
        <v/>
      </c>
      <c r="BC47" s="39">
        <f>AR47-BB47</f>
        <v/>
      </c>
      <c r="BD47" s="39">
        <f>AS47+AV47*$B$16-AS47/$B$18</f>
        <v/>
      </c>
      <c r="BE47" s="39">
        <f>AV47*'1_Assumptions'!$B$56/365+AW47*'1_Assumptions'!$B$57/365+AV47*'1_Assumptions'!$B$54-AW47*'1_Assumptions'!$B$58/365-AV47*'1_Assumptions'!$B$55</f>
        <v/>
      </c>
      <c r="BF47" s="39">
        <f>AX47*(1-$B$15)+AY47+BB47+IF($B$19=1,AV47*'1_Assumptions'!$E$33,0)-AZ47-(BE47-AT47)</f>
        <v/>
      </c>
      <c r="BG47" s="39">
        <f>N47/(1+$B$21)^(1-0.5*$B$23)+Y47/(1+$B$21)^(2-0.5*$B$23)+AJ47/(1+$B$21)^(3-0.5*$B$23)+AU47/(1+$B$21)^(4-0.5*$B$23)+BF47/(1+$B$21)^(5-0.5*$B$23)</f>
        <v/>
      </c>
      <c r="BH47" s="39">
        <f>BE47+BA47+BC47+$B$9+IF($B$17=1,BD47,0)</f>
        <v/>
      </c>
      <c r="BI47" s="19">
        <f>IF($B$32=2,$B$21+$B$33,IF(BH47=0,0,BL47/BH47))</f>
        <v/>
      </c>
      <c r="BJ47" s="19">
        <f>IF(BI47=0,9,$C47/BI47)</f>
        <v/>
      </c>
      <c r="BK47" s="55">
        <f>IF(OR(BH47&lt;=0,BI47&lt;=$B$21,BJ47&gt;=1,BJ47&lt;0),1,0)</f>
        <v/>
      </c>
      <c r="BL47" s="39">
        <f>AX47*(1-$B$20)</f>
        <v/>
      </c>
      <c r="BM47" s="39">
        <f>IF(BK47=1,BL47,AX47*(1+$C47)*(1-$B$20)*(1-BJ47))</f>
        <v/>
      </c>
      <c r="BN47" s="39">
        <f>IF(BK47=1,BL47/$B$21,BM47/($B$21-$C47))</f>
        <v/>
      </c>
      <c r="BO47" s="39">
        <f>BN47/(1+$B$21)^(5-0.5*$B$23)</f>
        <v/>
      </c>
      <c r="BP47" s="39">
        <f>BG47+BO47</f>
        <v/>
      </c>
      <c r="BQ47" s="39">
        <f>BP47*(1+$B$21)^$B$24-N47*$B$24*(1+$B$21)^($B$24/2)</f>
        <v/>
      </c>
      <c r="BR47" s="39">
        <f>BQ47-$B$25+$B$26+$B$27</f>
        <v/>
      </c>
      <c r="BS47" s="39">
        <f>IF($B$28=1,$B$30,BR47*$B$29)</f>
        <v/>
      </c>
      <c r="BT47" s="39">
        <f>BR47-BS47</f>
        <v/>
      </c>
      <c r="BU47" s="58">
        <f>BT47/$B$31</f>
        <v/>
      </c>
    </row>
    <row r="48">
      <c r="A48" s="17" t="inlineStr">
        <is>
          <t>3-1</t>
        </is>
      </c>
      <c r="B48" s="26" t="n">
        <v>0</v>
      </c>
      <c r="C48" s="26" t="n">
        <v>0.01</v>
      </c>
      <c r="D48" s="39">
        <f>$B$5*(1+('1_Assumptions'!$E$11+IF('1_Assumptions'!$B$39=1,0,$B48)))</f>
        <v/>
      </c>
      <c r="E48" s="39">
        <f>D48*(1-'1_Assumptions'!$E$17)</f>
        <v/>
      </c>
      <c r="F48" s="39">
        <f>D48-E48-D48*$B$11+D48*$B$12</f>
        <v/>
      </c>
      <c r="G48" s="39">
        <f>$B$6*$B$13</f>
        <v/>
      </c>
      <c r="H48" s="39">
        <f>D48*'1_Assumptions'!$E$23</f>
        <v/>
      </c>
      <c r="I48" s="39">
        <f>$B$6+H48-G48</f>
        <v/>
      </c>
      <c r="J48" s="39">
        <f>D48*$B$14</f>
        <v/>
      </c>
      <c r="K48" s="39">
        <f>$B$7-J48</f>
        <v/>
      </c>
      <c r="L48" s="39">
        <f>$B$8+D48*$B$16-$B$8/$B$18</f>
        <v/>
      </c>
      <c r="M48" s="39">
        <f>D48*'1_Assumptions'!$B$56/365+E48*'1_Assumptions'!$B$57/365+D48*'1_Assumptions'!$B$54-E48*'1_Assumptions'!$B$58/365-D48*'1_Assumptions'!$B$55</f>
        <v/>
      </c>
      <c r="N48" s="39">
        <f>F48*(1-$B$15)+G48+J48+IF($B$19=1,D48*'1_Assumptions'!$E$29,0)-H48-(M48-$B$10)</f>
        <v/>
      </c>
      <c r="O48" s="39">
        <f>D48*(1+('1_Assumptions'!$E$12+$B48))</f>
        <v/>
      </c>
      <c r="P48" s="39">
        <f>O48*(1-'1_Assumptions'!$E$18)</f>
        <v/>
      </c>
      <c r="Q48" s="39">
        <f>O48-P48-O48*$B$11+O48*$B$12</f>
        <v/>
      </c>
      <c r="R48" s="39">
        <f>I48*$B$13</f>
        <v/>
      </c>
      <c r="S48" s="39">
        <f>O48*'1_Assumptions'!$E$24</f>
        <v/>
      </c>
      <c r="T48" s="39">
        <f>I48+S48-R48</f>
        <v/>
      </c>
      <c r="U48" s="39">
        <f>O48*$B$14</f>
        <v/>
      </c>
      <c r="V48" s="39">
        <f>K48-U48</f>
        <v/>
      </c>
      <c r="W48" s="39">
        <f>L48+O48*$B$16-L48/$B$18</f>
        <v/>
      </c>
      <c r="X48" s="39">
        <f>O48*'1_Assumptions'!$B$56/365+P48*'1_Assumptions'!$B$57/365+O48*'1_Assumptions'!$B$54-P48*'1_Assumptions'!$B$58/365-O48*'1_Assumptions'!$B$55</f>
        <v/>
      </c>
      <c r="Y48" s="39">
        <f>Q48*(1-$B$15)+R48+U48+IF($B$19=1,O48*'1_Assumptions'!$E$30,0)-S48-(X48-M48)</f>
        <v/>
      </c>
      <c r="Z48" s="39">
        <f>O48*(1+('1_Assumptions'!$E$13+$B48))</f>
        <v/>
      </c>
      <c r="AA48" s="39">
        <f>Z48*(1-'1_Assumptions'!$E$19)</f>
        <v/>
      </c>
      <c r="AB48" s="39">
        <f>Z48-AA48-Z48*$B$11+Z48*$B$12</f>
        <v/>
      </c>
      <c r="AC48" s="39">
        <f>T48*$B$13</f>
        <v/>
      </c>
      <c r="AD48" s="39">
        <f>Z48*'1_Assumptions'!$E$25</f>
        <v/>
      </c>
      <c r="AE48" s="39">
        <f>T48+AD48-AC48</f>
        <v/>
      </c>
      <c r="AF48" s="39">
        <f>Z48*$B$14</f>
        <v/>
      </c>
      <c r="AG48" s="39">
        <f>V48-AF48</f>
        <v/>
      </c>
      <c r="AH48" s="39">
        <f>W48+Z48*$B$16-W48/$B$18</f>
        <v/>
      </c>
      <c r="AI48" s="39">
        <f>Z48*'1_Assumptions'!$B$56/365+AA48*'1_Assumptions'!$B$57/365+Z48*'1_Assumptions'!$B$54-AA48*'1_Assumptions'!$B$58/365-Z48*'1_Assumptions'!$B$55</f>
        <v/>
      </c>
      <c r="AJ48" s="39">
        <f>AB48*(1-$B$15)+AC48+AF48+IF($B$19=1,Z48*'1_Assumptions'!$E$31,0)-AD48-(AI48-X48)</f>
        <v/>
      </c>
      <c r="AK48" s="39">
        <f>Z48*(1+('1_Assumptions'!$E$14+$B48))</f>
        <v/>
      </c>
      <c r="AL48" s="39">
        <f>AK48*(1-'1_Assumptions'!$E$20)</f>
        <v/>
      </c>
      <c r="AM48" s="39">
        <f>AK48-AL48-AK48*$B$11+AK48*$B$12</f>
        <v/>
      </c>
      <c r="AN48" s="39">
        <f>AE48*$B$13</f>
        <v/>
      </c>
      <c r="AO48" s="39">
        <f>AK48*'1_Assumptions'!$E$26</f>
        <v/>
      </c>
      <c r="AP48" s="39">
        <f>AE48+AO48-AN48</f>
        <v/>
      </c>
      <c r="AQ48" s="39">
        <f>AK48*$B$14</f>
        <v/>
      </c>
      <c r="AR48" s="39">
        <f>AG48-AQ48</f>
        <v/>
      </c>
      <c r="AS48" s="39">
        <f>AH48+AK48*$B$16-AH48/$B$18</f>
        <v/>
      </c>
      <c r="AT48" s="39">
        <f>AK48*'1_Assumptions'!$B$56/365+AL48*'1_Assumptions'!$B$57/365+AK48*'1_Assumptions'!$B$54-AL48*'1_Assumptions'!$B$58/365-AK48*'1_Assumptions'!$B$55</f>
        <v/>
      </c>
      <c r="AU48" s="39">
        <f>AM48*(1-$B$15)+AN48+AQ48+IF($B$19=1,AK48*'1_Assumptions'!$E$32,0)-AO48-(AT48-AI48)</f>
        <v/>
      </c>
      <c r="AV48" s="39">
        <f>AK48*(1+('1_Assumptions'!$E$15+$B48))</f>
        <v/>
      </c>
      <c r="AW48" s="39">
        <f>AV48*(1-'1_Assumptions'!$E$21)</f>
        <v/>
      </c>
      <c r="AX48" s="39">
        <f>AV48-AW48-AV48*$B$11+AV48*$B$12</f>
        <v/>
      </c>
      <c r="AY48" s="39">
        <f>AP48*$B$13</f>
        <v/>
      </c>
      <c r="AZ48" s="39">
        <f>AV48*'1_Assumptions'!$E$27</f>
        <v/>
      </c>
      <c r="BA48" s="39">
        <f>AP48+AZ48-AY48</f>
        <v/>
      </c>
      <c r="BB48" s="39">
        <f>AV48*$B$14</f>
        <v/>
      </c>
      <c r="BC48" s="39">
        <f>AR48-BB48</f>
        <v/>
      </c>
      <c r="BD48" s="39">
        <f>AS48+AV48*$B$16-AS48/$B$18</f>
        <v/>
      </c>
      <c r="BE48" s="39">
        <f>AV48*'1_Assumptions'!$B$56/365+AW48*'1_Assumptions'!$B$57/365+AV48*'1_Assumptions'!$B$54-AW48*'1_Assumptions'!$B$58/365-AV48*'1_Assumptions'!$B$55</f>
        <v/>
      </c>
      <c r="BF48" s="39">
        <f>AX48*(1-$B$15)+AY48+BB48+IF($B$19=1,AV48*'1_Assumptions'!$E$33,0)-AZ48-(BE48-AT48)</f>
        <v/>
      </c>
      <c r="BG48" s="39">
        <f>N48/(1+$B$21)^(1-0.5*$B$23)+Y48/(1+$B$21)^(2-0.5*$B$23)+AJ48/(1+$B$21)^(3-0.5*$B$23)+AU48/(1+$B$21)^(4-0.5*$B$23)+BF48/(1+$B$21)^(5-0.5*$B$23)</f>
        <v/>
      </c>
      <c r="BH48" s="39">
        <f>BE48+BA48+BC48+$B$9+IF($B$17=1,BD48,0)</f>
        <v/>
      </c>
      <c r="BI48" s="19">
        <f>IF($B$32=2,$B$21+$B$33,IF(BH48=0,0,BL48/BH48))</f>
        <v/>
      </c>
      <c r="BJ48" s="19">
        <f>IF(BI48=0,9,$C48/BI48)</f>
        <v/>
      </c>
      <c r="BK48" s="55">
        <f>IF(OR(BH48&lt;=0,BI48&lt;=$B$21,BJ48&gt;=1,BJ48&lt;0),1,0)</f>
        <v/>
      </c>
      <c r="BL48" s="39">
        <f>AX48*(1-$B$20)</f>
        <v/>
      </c>
      <c r="BM48" s="39">
        <f>IF(BK48=1,BL48,AX48*(1+$C48)*(1-$B$20)*(1-BJ48))</f>
        <v/>
      </c>
      <c r="BN48" s="39">
        <f>IF(BK48=1,BL48/$B$21,BM48/($B$21-$C48))</f>
        <v/>
      </c>
      <c r="BO48" s="39">
        <f>BN48/(1+$B$21)^(5-0.5*$B$23)</f>
        <v/>
      </c>
      <c r="BP48" s="39">
        <f>BG48+BO48</f>
        <v/>
      </c>
      <c r="BQ48" s="39">
        <f>BP48*(1+$B$21)^$B$24-N48*$B$24*(1+$B$21)^($B$24/2)</f>
        <v/>
      </c>
      <c r="BR48" s="39">
        <f>BQ48-$B$25+$B$26+$B$27</f>
        <v/>
      </c>
      <c r="BS48" s="39">
        <f>IF($B$28=1,$B$30,BR48*$B$29)</f>
        <v/>
      </c>
      <c r="BT48" s="39">
        <f>BR48-BS48</f>
        <v/>
      </c>
      <c r="BU48" s="58">
        <f>BT48/$B$31</f>
        <v/>
      </c>
    </row>
    <row r="49">
      <c r="A49" s="17" t="inlineStr">
        <is>
          <t>3-2</t>
        </is>
      </c>
      <c r="B49" s="26" t="n">
        <v>0</v>
      </c>
      <c r="C49" s="26" t="n">
        <v>0.0175</v>
      </c>
      <c r="D49" s="39">
        <f>$B$5*(1+('1_Assumptions'!$E$11+IF('1_Assumptions'!$B$39=1,0,$B49)))</f>
        <v/>
      </c>
      <c r="E49" s="39">
        <f>D49*(1-'1_Assumptions'!$E$17)</f>
        <v/>
      </c>
      <c r="F49" s="39">
        <f>D49-E49-D49*$B$11+D49*$B$12</f>
        <v/>
      </c>
      <c r="G49" s="39">
        <f>$B$6*$B$13</f>
        <v/>
      </c>
      <c r="H49" s="39">
        <f>D49*'1_Assumptions'!$E$23</f>
        <v/>
      </c>
      <c r="I49" s="39">
        <f>$B$6+H49-G49</f>
        <v/>
      </c>
      <c r="J49" s="39">
        <f>D49*$B$14</f>
        <v/>
      </c>
      <c r="K49" s="39">
        <f>$B$7-J49</f>
        <v/>
      </c>
      <c r="L49" s="39">
        <f>$B$8+D49*$B$16-$B$8/$B$18</f>
        <v/>
      </c>
      <c r="M49" s="39">
        <f>D49*'1_Assumptions'!$B$56/365+E49*'1_Assumptions'!$B$57/365+D49*'1_Assumptions'!$B$54-E49*'1_Assumptions'!$B$58/365-D49*'1_Assumptions'!$B$55</f>
        <v/>
      </c>
      <c r="N49" s="39">
        <f>F49*(1-$B$15)+G49+J49+IF($B$19=1,D49*'1_Assumptions'!$E$29,0)-H49-(M49-$B$10)</f>
        <v/>
      </c>
      <c r="O49" s="39">
        <f>D49*(1+('1_Assumptions'!$E$12+$B49))</f>
        <v/>
      </c>
      <c r="P49" s="39">
        <f>O49*(1-'1_Assumptions'!$E$18)</f>
        <v/>
      </c>
      <c r="Q49" s="39">
        <f>O49-P49-O49*$B$11+O49*$B$12</f>
        <v/>
      </c>
      <c r="R49" s="39">
        <f>I49*$B$13</f>
        <v/>
      </c>
      <c r="S49" s="39">
        <f>O49*'1_Assumptions'!$E$24</f>
        <v/>
      </c>
      <c r="T49" s="39">
        <f>I49+S49-R49</f>
        <v/>
      </c>
      <c r="U49" s="39">
        <f>O49*$B$14</f>
        <v/>
      </c>
      <c r="V49" s="39">
        <f>K49-U49</f>
        <v/>
      </c>
      <c r="W49" s="39">
        <f>L49+O49*$B$16-L49/$B$18</f>
        <v/>
      </c>
      <c r="X49" s="39">
        <f>O49*'1_Assumptions'!$B$56/365+P49*'1_Assumptions'!$B$57/365+O49*'1_Assumptions'!$B$54-P49*'1_Assumptions'!$B$58/365-O49*'1_Assumptions'!$B$55</f>
        <v/>
      </c>
      <c r="Y49" s="39">
        <f>Q49*(1-$B$15)+R49+U49+IF($B$19=1,O49*'1_Assumptions'!$E$30,0)-S49-(X49-M49)</f>
        <v/>
      </c>
      <c r="Z49" s="39">
        <f>O49*(1+('1_Assumptions'!$E$13+$B49))</f>
        <v/>
      </c>
      <c r="AA49" s="39">
        <f>Z49*(1-'1_Assumptions'!$E$19)</f>
        <v/>
      </c>
      <c r="AB49" s="39">
        <f>Z49-AA49-Z49*$B$11+Z49*$B$12</f>
        <v/>
      </c>
      <c r="AC49" s="39">
        <f>T49*$B$13</f>
        <v/>
      </c>
      <c r="AD49" s="39">
        <f>Z49*'1_Assumptions'!$E$25</f>
        <v/>
      </c>
      <c r="AE49" s="39">
        <f>T49+AD49-AC49</f>
        <v/>
      </c>
      <c r="AF49" s="39">
        <f>Z49*$B$14</f>
        <v/>
      </c>
      <c r="AG49" s="39">
        <f>V49-AF49</f>
        <v/>
      </c>
      <c r="AH49" s="39">
        <f>W49+Z49*$B$16-W49/$B$18</f>
        <v/>
      </c>
      <c r="AI49" s="39">
        <f>Z49*'1_Assumptions'!$B$56/365+AA49*'1_Assumptions'!$B$57/365+Z49*'1_Assumptions'!$B$54-AA49*'1_Assumptions'!$B$58/365-Z49*'1_Assumptions'!$B$55</f>
        <v/>
      </c>
      <c r="AJ49" s="39">
        <f>AB49*(1-$B$15)+AC49+AF49+IF($B$19=1,Z49*'1_Assumptions'!$E$31,0)-AD49-(AI49-X49)</f>
        <v/>
      </c>
      <c r="AK49" s="39">
        <f>Z49*(1+('1_Assumptions'!$E$14+$B49))</f>
        <v/>
      </c>
      <c r="AL49" s="39">
        <f>AK49*(1-'1_Assumptions'!$E$20)</f>
        <v/>
      </c>
      <c r="AM49" s="39">
        <f>AK49-AL49-AK49*$B$11+AK49*$B$12</f>
        <v/>
      </c>
      <c r="AN49" s="39">
        <f>AE49*$B$13</f>
        <v/>
      </c>
      <c r="AO49" s="39">
        <f>AK49*'1_Assumptions'!$E$26</f>
        <v/>
      </c>
      <c r="AP49" s="39">
        <f>AE49+AO49-AN49</f>
        <v/>
      </c>
      <c r="AQ49" s="39">
        <f>AK49*$B$14</f>
        <v/>
      </c>
      <c r="AR49" s="39">
        <f>AG49-AQ49</f>
        <v/>
      </c>
      <c r="AS49" s="39">
        <f>AH49+AK49*$B$16-AH49/$B$18</f>
        <v/>
      </c>
      <c r="AT49" s="39">
        <f>AK49*'1_Assumptions'!$B$56/365+AL49*'1_Assumptions'!$B$57/365+AK49*'1_Assumptions'!$B$54-AL49*'1_Assumptions'!$B$58/365-AK49*'1_Assumptions'!$B$55</f>
        <v/>
      </c>
      <c r="AU49" s="39">
        <f>AM49*(1-$B$15)+AN49+AQ49+IF($B$19=1,AK49*'1_Assumptions'!$E$32,0)-AO49-(AT49-AI49)</f>
        <v/>
      </c>
      <c r="AV49" s="39">
        <f>AK49*(1+('1_Assumptions'!$E$15+$B49))</f>
        <v/>
      </c>
      <c r="AW49" s="39">
        <f>AV49*(1-'1_Assumptions'!$E$21)</f>
        <v/>
      </c>
      <c r="AX49" s="39">
        <f>AV49-AW49-AV49*$B$11+AV49*$B$12</f>
        <v/>
      </c>
      <c r="AY49" s="39">
        <f>AP49*$B$13</f>
        <v/>
      </c>
      <c r="AZ49" s="39">
        <f>AV49*'1_Assumptions'!$E$27</f>
        <v/>
      </c>
      <c r="BA49" s="39">
        <f>AP49+AZ49-AY49</f>
        <v/>
      </c>
      <c r="BB49" s="39">
        <f>AV49*$B$14</f>
        <v/>
      </c>
      <c r="BC49" s="39">
        <f>AR49-BB49</f>
        <v/>
      </c>
      <c r="BD49" s="39">
        <f>AS49+AV49*$B$16-AS49/$B$18</f>
        <v/>
      </c>
      <c r="BE49" s="39">
        <f>AV49*'1_Assumptions'!$B$56/365+AW49*'1_Assumptions'!$B$57/365+AV49*'1_Assumptions'!$B$54-AW49*'1_Assumptions'!$B$58/365-AV49*'1_Assumptions'!$B$55</f>
        <v/>
      </c>
      <c r="BF49" s="39">
        <f>AX49*(1-$B$15)+AY49+BB49+IF($B$19=1,AV49*'1_Assumptions'!$E$33,0)-AZ49-(BE49-AT49)</f>
        <v/>
      </c>
      <c r="BG49" s="39">
        <f>N49/(1+$B$21)^(1-0.5*$B$23)+Y49/(1+$B$21)^(2-0.5*$B$23)+AJ49/(1+$B$21)^(3-0.5*$B$23)+AU49/(1+$B$21)^(4-0.5*$B$23)+BF49/(1+$B$21)^(5-0.5*$B$23)</f>
        <v/>
      </c>
      <c r="BH49" s="39">
        <f>BE49+BA49+BC49+$B$9+IF($B$17=1,BD49,0)</f>
        <v/>
      </c>
      <c r="BI49" s="19">
        <f>IF($B$32=2,$B$21+$B$33,IF(BH49=0,0,BL49/BH49))</f>
        <v/>
      </c>
      <c r="BJ49" s="19">
        <f>IF(BI49=0,9,$C49/BI49)</f>
        <v/>
      </c>
      <c r="BK49" s="55">
        <f>IF(OR(BH49&lt;=0,BI49&lt;=$B$21,BJ49&gt;=1,BJ49&lt;0),1,0)</f>
        <v/>
      </c>
      <c r="BL49" s="39">
        <f>AX49*(1-$B$20)</f>
        <v/>
      </c>
      <c r="BM49" s="39">
        <f>IF(BK49=1,BL49,AX49*(1+$C49)*(1-$B$20)*(1-BJ49))</f>
        <v/>
      </c>
      <c r="BN49" s="39">
        <f>IF(BK49=1,BL49/$B$21,BM49/($B$21-$C49))</f>
        <v/>
      </c>
      <c r="BO49" s="39">
        <f>BN49/(1+$B$21)^(5-0.5*$B$23)</f>
        <v/>
      </c>
      <c r="BP49" s="39">
        <f>BG49+BO49</f>
        <v/>
      </c>
      <c r="BQ49" s="39">
        <f>BP49*(1+$B$21)^$B$24-N49*$B$24*(1+$B$21)^($B$24/2)</f>
        <v/>
      </c>
      <c r="BR49" s="39">
        <f>BQ49-$B$25+$B$26+$B$27</f>
        <v/>
      </c>
      <c r="BS49" s="39">
        <f>IF($B$28=1,$B$30,BR49*$B$29)</f>
        <v/>
      </c>
      <c r="BT49" s="39">
        <f>BR49-BS49</f>
        <v/>
      </c>
      <c r="BU49" s="58">
        <f>BT49/$B$31</f>
        <v/>
      </c>
    </row>
    <row r="50">
      <c r="A50" s="17" t="inlineStr">
        <is>
          <t>3-3</t>
        </is>
      </c>
      <c r="B50" s="26" t="n">
        <v>0</v>
      </c>
      <c r="C50" s="26" t="n">
        <v>0.025</v>
      </c>
      <c r="D50" s="39">
        <f>$B$5*(1+('1_Assumptions'!$E$11+IF('1_Assumptions'!$B$39=1,0,$B50)))</f>
        <v/>
      </c>
      <c r="E50" s="39">
        <f>D50*(1-'1_Assumptions'!$E$17)</f>
        <v/>
      </c>
      <c r="F50" s="39">
        <f>D50-E50-D50*$B$11+D50*$B$12</f>
        <v/>
      </c>
      <c r="G50" s="39">
        <f>$B$6*$B$13</f>
        <v/>
      </c>
      <c r="H50" s="39">
        <f>D50*'1_Assumptions'!$E$23</f>
        <v/>
      </c>
      <c r="I50" s="39">
        <f>$B$6+H50-G50</f>
        <v/>
      </c>
      <c r="J50" s="39">
        <f>D50*$B$14</f>
        <v/>
      </c>
      <c r="K50" s="39">
        <f>$B$7-J50</f>
        <v/>
      </c>
      <c r="L50" s="39">
        <f>$B$8+D50*$B$16-$B$8/$B$18</f>
        <v/>
      </c>
      <c r="M50" s="39">
        <f>D50*'1_Assumptions'!$B$56/365+E50*'1_Assumptions'!$B$57/365+D50*'1_Assumptions'!$B$54-E50*'1_Assumptions'!$B$58/365-D50*'1_Assumptions'!$B$55</f>
        <v/>
      </c>
      <c r="N50" s="39">
        <f>F50*(1-$B$15)+G50+J50+IF($B$19=1,D50*'1_Assumptions'!$E$29,0)-H50-(M50-$B$10)</f>
        <v/>
      </c>
      <c r="O50" s="39">
        <f>D50*(1+('1_Assumptions'!$E$12+$B50))</f>
        <v/>
      </c>
      <c r="P50" s="39">
        <f>O50*(1-'1_Assumptions'!$E$18)</f>
        <v/>
      </c>
      <c r="Q50" s="39">
        <f>O50-P50-O50*$B$11+O50*$B$12</f>
        <v/>
      </c>
      <c r="R50" s="39">
        <f>I50*$B$13</f>
        <v/>
      </c>
      <c r="S50" s="39">
        <f>O50*'1_Assumptions'!$E$24</f>
        <v/>
      </c>
      <c r="T50" s="39">
        <f>I50+S50-R50</f>
        <v/>
      </c>
      <c r="U50" s="39">
        <f>O50*$B$14</f>
        <v/>
      </c>
      <c r="V50" s="39">
        <f>K50-U50</f>
        <v/>
      </c>
      <c r="W50" s="39">
        <f>L50+O50*$B$16-L50/$B$18</f>
        <v/>
      </c>
      <c r="X50" s="39">
        <f>O50*'1_Assumptions'!$B$56/365+P50*'1_Assumptions'!$B$57/365+O50*'1_Assumptions'!$B$54-P50*'1_Assumptions'!$B$58/365-O50*'1_Assumptions'!$B$55</f>
        <v/>
      </c>
      <c r="Y50" s="39">
        <f>Q50*(1-$B$15)+R50+U50+IF($B$19=1,O50*'1_Assumptions'!$E$30,0)-S50-(X50-M50)</f>
        <v/>
      </c>
      <c r="Z50" s="39">
        <f>O50*(1+('1_Assumptions'!$E$13+$B50))</f>
        <v/>
      </c>
      <c r="AA50" s="39">
        <f>Z50*(1-'1_Assumptions'!$E$19)</f>
        <v/>
      </c>
      <c r="AB50" s="39">
        <f>Z50-AA50-Z50*$B$11+Z50*$B$12</f>
        <v/>
      </c>
      <c r="AC50" s="39">
        <f>T50*$B$13</f>
        <v/>
      </c>
      <c r="AD50" s="39">
        <f>Z50*'1_Assumptions'!$E$25</f>
        <v/>
      </c>
      <c r="AE50" s="39">
        <f>T50+AD50-AC50</f>
        <v/>
      </c>
      <c r="AF50" s="39">
        <f>Z50*$B$14</f>
        <v/>
      </c>
      <c r="AG50" s="39">
        <f>V50-AF50</f>
        <v/>
      </c>
      <c r="AH50" s="39">
        <f>W50+Z50*$B$16-W50/$B$18</f>
        <v/>
      </c>
      <c r="AI50" s="39">
        <f>Z50*'1_Assumptions'!$B$56/365+AA50*'1_Assumptions'!$B$57/365+Z50*'1_Assumptions'!$B$54-AA50*'1_Assumptions'!$B$58/365-Z50*'1_Assumptions'!$B$55</f>
        <v/>
      </c>
      <c r="AJ50" s="39">
        <f>AB50*(1-$B$15)+AC50+AF50+IF($B$19=1,Z50*'1_Assumptions'!$E$31,0)-AD50-(AI50-X50)</f>
        <v/>
      </c>
      <c r="AK50" s="39">
        <f>Z50*(1+('1_Assumptions'!$E$14+$B50))</f>
        <v/>
      </c>
      <c r="AL50" s="39">
        <f>AK50*(1-'1_Assumptions'!$E$20)</f>
        <v/>
      </c>
      <c r="AM50" s="39">
        <f>AK50-AL50-AK50*$B$11+AK50*$B$12</f>
        <v/>
      </c>
      <c r="AN50" s="39">
        <f>AE50*$B$13</f>
        <v/>
      </c>
      <c r="AO50" s="39">
        <f>AK50*'1_Assumptions'!$E$26</f>
        <v/>
      </c>
      <c r="AP50" s="39">
        <f>AE50+AO50-AN50</f>
        <v/>
      </c>
      <c r="AQ50" s="39">
        <f>AK50*$B$14</f>
        <v/>
      </c>
      <c r="AR50" s="39">
        <f>AG50-AQ50</f>
        <v/>
      </c>
      <c r="AS50" s="39">
        <f>AH50+AK50*$B$16-AH50/$B$18</f>
        <v/>
      </c>
      <c r="AT50" s="39">
        <f>AK50*'1_Assumptions'!$B$56/365+AL50*'1_Assumptions'!$B$57/365+AK50*'1_Assumptions'!$B$54-AL50*'1_Assumptions'!$B$58/365-AK50*'1_Assumptions'!$B$55</f>
        <v/>
      </c>
      <c r="AU50" s="39">
        <f>AM50*(1-$B$15)+AN50+AQ50+IF($B$19=1,AK50*'1_Assumptions'!$E$32,0)-AO50-(AT50-AI50)</f>
        <v/>
      </c>
      <c r="AV50" s="39">
        <f>AK50*(1+('1_Assumptions'!$E$15+$B50))</f>
        <v/>
      </c>
      <c r="AW50" s="39">
        <f>AV50*(1-'1_Assumptions'!$E$21)</f>
        <v/>
      </c>
      <c r="AX50" s="39">
        <f>AV50-AW50-AV50*$B$11+AV50*$B$12</f>
        <v/>
      </c>
      <c r="AY50" s="39">
        <f>AP50*$B$13</f>
        <v/>
      </c>
      <c r="AZ50" s="39">
        <f>AV50*'1_Assumptions'!$E$27</f>
        <v/>
      </c>
      <c r="BA50" s="39">
        <f>AP50+AZ50-AY50</f>
        <v/>
      </c>
      <c r="BB50" s="39">
        <f>AV50*$B$14</f>
        <v/>
      </c>
      <c r="BC50" s="39">
        <f>AR50-BB50</f>
        <v/>
      </c>
      <c r="BD50" s="39">
        <f>AS50+AV50*$B$16-AS50/$B$18</f>
        <v/>
      </c>
      <c r="BE50" s="39">
        <f>AV50*'1_Assumptions'!$B$56/365+AW50*'1_Assumptions'!$B$57/365+AV50*'1_Assumptions'!$B$54-AW50*'1_Assumptions'!$B$58/365-AV50*'1_Assumptions'!$B$55</f>
        <v/>
      </c>
      <c r="BF50" s="39">
        <f>AX50*(1-$B$15)+AY50+BB50+IF($B$19=1,AV50*'1_Assumptions'!$E$33,0)-AZ50-(BE50-AT50)</f>
        <v/>
      </c>
      <c r="BG50" s="39">
        <f>N50/(1+$B$21)^(1-0.5*$B$23)+Y50/(1+$B$21)^(2-0.5*$B$23)+AJ50/(1+$B$21)^(3-0.5*$B$23)+AU50/(1+$B$21)^(4-0.5*$B$23)+BF50/(1+$B$21)^(5-0.5*$B$23)</f>
        <v/>
      </c>
      <c r="BH50" s="39">
        <f>BE50+BA50+BC50+$B$9+IF($B$17=1,BD50,0)</f>
        <v/>
      </c>
      <c r="BI50" s="19">
        <f>IF($B$32=2,$B$21+$B$33,IF(BH50=0,0,BL50/BH50))</f>
        <v/>
      </c>
      <c r="BJ50" s="19">
        <f>IF(BI50=0,9,$C50/BI50)</f>
        <v/>
      </c>
      <c r="BK50" s="55">
        <f>IF(OR(BH50&lt;=0,BI50&lt;=$B$21,BJ50&gt;=1,BJ50&lt;0),1,0)</f>
        <v/>
      </c>
      <c r="BL50" s="39">
        <f>AX50*(1-$B$20)</f>
        <v/>
      </c>
      <c r="BM50" s="39">
        <f>IF(BK50=1,BL50,AX50*(1+$C50)*(1-$B$20)*(1-BJ50))</f>
        <v/>
      </c>
      <c r="BN50" s="39">
        <f>IF(BK50=1,BL50/$B$21,BM50/($B$21-$C50))</f>
        <v/>
      </c>
      <c r="BO50" s="39">
        <f>BN50/(1+$B$21)^(5-0.5*$B$23)</f>
        <v/>
      </c>
      <c r="BP50" s="39">
        <f>BG50+BO50</f>
        <v/>
      </c>
      <c r="BQ50" s="39">
        <f>BP50*(1+$B$21)^$B$24-N50*$B$24*(1+$B$21)^($B$24/2)</f>
        <v/>
      </c>
      <c r="BR50" s="39">
        <f>BQ50-$B$25+$B$26+$B$27</f>
        <v/>
      </c>
      <c r="BS50" s="39">
        <f>IF($B$28=1,$B$30,BR50*$B$29)</f>
        <v/>
      </c>
      <c r="BT50" s="39">
        <f>BR50-BS50</f>
        <v/>
      </c>
      <c r="BU50" s="58">
        <f>BT50/$B$31</f>
        <v/>
      </c>
    </row>
    <row r="51">
      <c r="A51" s="17" t="inlineStr">
        <is>
          <t>3-4</t>
        </is>
      </c>
      <c r="B51" s="26" t="n">
        <v>0</v>
      </c>
      <c r="C51" s="26" t="n">
        <v>0.0325</v>
      </c>
      <c r="D51" s="39">
        <f>$B$5*(1+('1_Assumptions'!$E$11+IF('1_Assumptions'!$B$39=1,0,$B51)))</f>
        <v/>
      </c>
      <c r="E51" s="39">
        <f>D51*(1-'1_Assumptions'!$E$17)</f>
        <v/>
      </c>
      <c r="F51" s="39">
        <f>D51-E51-D51*$B$11+D51*$B$12</f>
        <v/>
      </c>
      <c r="G51" s="39">
        <f>$B$6*$B$13</f>
        <v/>
      </c>
      <c r="H51" s="39">
        <f>D51*'1_Assumptions'!$E$23</f>
        <v/>
      </c>
      <c r="I51" s="39">
        <f>$B$6+H51-G51</f>
        <v/>
      </c>
      <c r="J51" s="39">
        <f>D51*$B$14</f>
        <v/>
      </c>
      <c r="K51" s="39">
        <f>$B$7-J51</f>
        <v/>
      </c>
      <c r="L51" s="39">
        <f>$B$8+D51*$B$16-$B$8/$B$18</f>
        <v/>
      </c>
      <c r="M51" s="39">
        <f>D51*'1_Assumptions'!$B$56/365+E51*'1_Assumptions'!$B$57/365+D51*'1_Assumptions'!$B$54-E51*'1_Assumptions'!$B$58/365-D51*'1_Assumptions'!$B$55</f>
        <v/>
      </c>
      <c r="N51" s="39">
        <f>F51*(1-$B$15)+G51+J51+IF($B$19=1,D51*'1_Assumptions'!$E$29,0)-H51-(M51-$B$10)</f>
        <v/>
      </c>
      <c r="O51" s="39">
        <f>D51*(1+('1_Assumptions'!$E$12+$B51))</f>
        <v/>
      </c>
      <c r="P51" s="39">
        <f>O51*(1-'1_Assumptions'!$E$18)</f>
        <v/>
      </c>
      <c r="Q51" s="39">
        <f>O51-P51-O51*$B$11+O51*$B$12</f>
        <v/>
      </c>
      <c r="R51" s="39">
        <f>I51*$B$13</f>
        <v/>
      </c>
      <c r="S51" s="39">
        <f>O51*'1_Assumptions'!$E$24</f>
        <v/>
      </c>
      <c r="T51" s="39">
        <f>I51+S51-R51</f>
        <v/>
      </c>
      <c r="U51" s="39">
        <f>O51*$B$14</f>
        <v/>
      </c>
      <c r="V51" s="39">
        <f>K51-U51</f>
        <v/>
      </c>
      <c r="W51" s="39">
        <f>L51+O51*$B$16-L51/$B$18</f>
        <v/>
      </c>
      <c r="X51" s="39">
        <f>O51*'1_Assumptions'!$B$56/365+P51*'1_Assumptions'!$B$57/365+O51*'1_Assumptions'!$B$54-P51*'1_Assumptions'!$B$58/365-O51*'1_Assumptions'!$B$55</f>
        <v/>
      </c>
      <c r="Y51" s="39">
        <f>Q51*(1-$B$15)+R51+U51+IF($B$19=1,O51*'1_Assumptions'!$E$30,0)-S51-(X51-M51)</f>
        <v/>
      </c>
      <c r="Z51" s="39">
        <f>O51*(1+('1_Assumptions'!$E$13+$B51))</f>
        <v/>
      </c>
      <c r="AA51" s="39">
        <f>Z51*(1-'1_Assumptions'!$E$19)</f>
        <v/>
      </c>
      <c r="AB51" s="39">
        <f>Z51-AA51-Z51*$B$11+Z51*$B$12</f>
        <v/>
      </c>
      <c r="AC51" s="39">
        <f>T51*$B$13</f>
        <v/>
      </c>
      <c r="AD51" s="39">
        <f>Z51*'1_Assumptions'!$E$25</f>
        <v/>
      </c>
      <c r="AE51" s="39">
        <f>T51+AD51-AC51</f>
        <v/>
      </c>
      <c r="AF51" s="39">
        <f>Z51*$B$14</f>
        <v/>
      </c>
      <c r="AG51" s="39">
        <f>V51-AF51</f>
        <v/>
      </c>
      <c r="AH51" s="39">
        <f>W51+Z51*$B$16-W51/$B$18</f>
        <v/>
      </c>
      <c r="AI51" s="39">
        <f>Z51*'1_Assumptions'!$B$56/365+AA51*'1_Assumptions'!$B$57/365+Z51*'1_Assumptions'!$B$54-AA51*'1_Assumptions'!$B$58/365-Z51*'1_Assumptions'!$B$55</f>
        <v/>
      </c>
      <c r="AJ51" s="39">
        <f>AB51*(1-$B$15)+AC51+AF51+IF($B$19=1,Z51*'1_Assumptions'!$E$31,0)-AD51-(AI51-X51)</f>
        <v/>
      </c>
      <c r="AK51" s="39">
        <f>Z51*(1+('1_Assumptions'!$E$14+$B51))</f>
        <v/>
      </c>
      <c r="AL51" s="39">
        <f>AK51*(1-'1_Assumptions'!$E$20)</f>
        <v/>
      </c>
      <c r="AM51" s="39">
        <f>AK51-AL51-AK51*$B$11+AK51*$B$12</f>
        <v/>
      </c>
      <c r="AN51" s="39">
        <f>AE51*$B$13</f>
        <v/>
      </c>
      <c r="AO51" s="39">
        <f>AK51*'1_Assumptions'!$E$26</f>
        <v/>
      </c>
      <c r="AP51" s="39">
        <f>AE51+AO51-AN51</f>
        <v/>
      </c>
      <c r="AQ51" s="39">
        <f>AK51*$B$14</f>
        <v/>
      </c>
      <c r="AR51" s="39">
        <f>AG51-AQ51</f>
        <v/>
      </c>
      <c r="AS51" s="39">
        <f>AH51+AK51*$B$16-AH51/$B$18</f>
        <v/>
      </c>
      <c r="AT51" s="39">
        <f>AK51*'1_Assumptions'!$B$56/365+AL51*'1_Assumptions'!$B$57/365+AK51*'1_Assumptions'!$B$54-AL51*'1_Assumptions'!$B$58/365-AK51*'1_Assumptions'!$B$55</f>
        <v/>
      </c>
      <c r="AU51" s="39">
        <f>AM51*(1-$B$15)+AN51+AQ51+IF($B$19=1,AK51*'1_Assumptions'!$E$32,0)-AO51-(AT51-AI51)</f>
        <v/>
      </c>
      <c r="AV51" s="39">
        <f>AK51*(1+('1_Assumptions'!$E$15+$B51))</f>
        <v/>
      </c>
      <c r="AW51" s="39">
        <f>AV51*(1-'1_Assumptions'!$E$21)</f>
        <v/>
      </c>
      <c r="AX51" s="39">
        <f>AV51-AW51-AV51*$B$11+AV51*$B$12</f>
        <v/>
      </c>
      <c r="AY51" s="39">
        <f>AP51*$B$13</f>
        <v/>
      </c>
      <c r="AZ51" s="39">
        <f>AV51*'1_Assumptions'!$E$27</f>
        <v/>
      </c>
      <c r="BA51" s="39">
        <f>AP51+AZ51-AY51</f>
        <v/>
      </c>
      <c r="BB51" s="39">
        <f>AV51*$B$14</f>
        <v/>
      </c>
      <c r="BC51" s="39">
        <f>AR51-BB51</f>
        <v/>
      </c>
      <c r="BD51" s="39">
        <f>AS51+AV51*$B$16-AS51/$B$18</f>
        <v/>
      </c>
      <c r="BE51" s="39">
        <f>AV51*'1_Assumptions'!$B$56/365+AW51*'1_Assumptions'!$B$57/365+AV51*'1_Assumptions'!$B$54-AW51*'1_Assumptions'!$B$58/365-AV51*'1_Assumptions'!$B$55</f>
        <v/>
      </c>
      <c r="BF51" s="39">
        <f>AX51*(1-$B$15)+AY51+BB51+IF($B$19=1,AV51*'1_Assumptions'!$E$33,0)-AZ51-(BE51-AT51)</f>
        <v/>
      </c>
      <c r="BG51" s="39">
        <f>N51/(1+$B$21)^(1-0.5*$B$23)+Y51/(1+$B$21)^(2-0.5*$B$23)+AJ51/(1+$B$21)^(3-0.5*$B$23)+AU51/(1+$B$21)^(4-0.5*$B$23)+BF51/(1+$B$21)^(5-0.5*$B$23)</f>
        <v/>
      </c>
      <c r="BH51" s="39">
        <f>BE51+BA51+BC51+$B$9+IF($B$17=1,BD51,0)</f>
        <v/>
      </c>
      <c r="BI51" s="19">
        <f>IF($B$32=2,$B$21+$B$33,IF(BH51=0,0,BL51/BH51))</f>
        <v/>
      </c>
      <c r="BJ51" s="19">
        <f>IF(BI51=0,9,$C51/BI51)</f>
        <v/>
      </c>
      <c r="BK51" s="55">
        <f>IF(OR(BH51&lt;=0,BI51&lt;=$B$21,BJ51&gt;=1,BJ51&lt;0),1,0)</f>
        <v/>
      </c>
      <c r="BL51" s="39">
        <f>AX51*(1-$B$20)</f>
        <v/>
      </c>
      <c r="BM51" s="39">
        <f>IF(BK51=1,BL51,AX51*(1+$C51)*(1-$B$20)*(1-BJ51))</f>
        <v/>
      </c>
      <c r="BN51" s="39">
        <f>IF(BK51=1,BL51/$B$21,BM51/($B$21-$C51))</f>
        <v/>
      </c>
      <c r="BO51" s="39">
        <f>BN51/(1+$B$21)^(5-0.5*$B$23)</f>
        <v/>
      </c>
      <c r="BP51" s="39">
        <f>BG51+BO51</f>
        <v/>
      </c>
      <c r="BQ51" s="39">
        <f>BP51*(1+$B$21)^$B$24-N51*$B$24*(1+$B$21)^($B$24/2)</f>
        <v/>
      </c>
      <c r="BR51" s="39">
        <f>BQ51-$B$25+$B$26+$B$27</f>
        <v/>
      </c>
      <c r="BS51" s="39">
        <f>IF($B$28=1,$B$30,BR51*$B$29)</f>
        <v/>
      </c>
      <c r="BT51" s="39">
        <f>BR51-BS51</f>
        <v/>
      </c>
      <c r="BU51" s="58">
        <f>BT51/$B$31</f>
        <v/>
      </c>
    </row>
    <row r="52">
      <c r="A52" s="17" t="inlineStr">
        <is>
          <t>3-5</t>
        </is>
      </c>
      <c r="B52" s="26" t="n">
        <v>0</v>
      </c>
      <c r="C52" s="26" t="n">
        <v>0.04</v>
      </c>
      <c r="D52" s="39">
        <f>$B$5*(1+('1_Assumptions'!$E$11+IF('1_Assumptions'!$B$39=1,0,$B52)))</f>
        <v/>
      </c>
      <c r="E52" s="39">
        <f>D52*(1-'1_Assumptions'!$E$17)</f>
        <v/>
      </c>
      <c r="F52" s="39">
        <f>D52-E52-D52*$B$11+D52*$B$12</f>
        <v/>
      </c>
      <c r="G52" s="39">
        <f>$B$6*$B$13</f>
        <v/>
      </c>
      <c r="H52" s="39">
        <f>D52*'1_Assumptions'!$E$23</f>
        <v/>
      </c>
      <c r="I52" s="39">
        <f>$B$6+H52-G52</f>
        <v/>
      </c>
      <c r="J52" s="39">
        <f>D52*$B$14</f>
        <v/>
      </c>
      <c r="K52" s="39">
        <f>$B$7-J52</f>
        <v/>
      </c>
      <c r="L52" s="39">
        <f>$B$8+D52*$B$16-$B$8/$B$18</f>
        <v/>
      </c>
      <c r="M52" s="39">
        <f>D52*'1_Assumptions'!$B$56/365+E52*'1_Assumptions'!$B$57/365+D52*'1_Assumptions'!$B$54-E52*'1_Assumptions'!$B$58/365-D52*'1_Assumptions'!$B$55</f>
        <v/>
      </c>
      <c r="N52" s="39">
        <f>F52*(1-$B$15)+G52+J52+IF($B$19=1,D52*'1_Assumptions'!$E$29,0)-H52-(M52-$B$10)</f>
        <v/>
      </c>
      <c r="O52" s="39">
        <f>D52*(1+('1_Assumptions'!$E$12+$B52))</f>
        <v/>
      </c>
      <c r="P52" s="39">
        <f>O52*(1-'1_Assumptions'!$E$18)</f>
        <v/>
      </c>
      <c r="Q52" s="39">
        <f>O52-P52-O52*$B$11+O52*$B$12</f>
        <v/>
      </c>
      <c r="R52" s="39">
        <f>I52*$B$13</f>
        <v/>
      </c>
      <c r="S52" s="39">
        <f>O52*'1_Assumptions'!$E$24</f>
        <v/>
      </c>
      <c r="T52" s="39">
        <f>I52+S52-R52</f>
        <v/>
      </c>
      <c r="U52" s="39">
        <f>O52*$B$14</f>
        <v/>
      </c>
      <c r="V52" s="39">
        <f>K52-U52</f>
        <v/>
      </c>
      <c r="W52" s="39">
        <f>L52+O52*$B$16-L52/$B$18</f>
        <v/>
      </c>
      <c r="X52" s="39">
        <f>O52*'1_Assumptions'!$B$56/365+P52*'1_Assumptions'!$B$57/365+O52*'1_Assumptions'!$B$54-P52*'1_Assumptions'!$B$58/365-O52*'1_Assumptions'!$B$55</f>
        <v/>
      </c>
      <c r="Y52" s="39">
        <f>Q52*(1-$B$15)+R52+U52+IF($B$19=1,O52*'1_Assumptions'!$E$30,0)-S52-(X52-M52)</f>
        <v/>
      </c>
      <c r="Z52" s="39">
        <f>O52*(1+('1_Assumptions'!$E$13+$B52))</f>
        <v/>
      </c>
      <c r="AA52" s="39">
        <f>Z52*(1-'1_Assumptions'!$E$19)</f>
        <v/>
      </c>
      <c r="AB52" s="39">
        <f>Z52-AA52-Z52*$B$11+Z52*$B$12</f>
        <v/>
      </c>
      <c r="AC52" s="39">
        <f>T52*$B$13</f>
        <v/>
      </c>
      <c r="AD52" s="39">
        <f>Z52*'1_Assumptions'!$E$25</f>
        <v/>
      </c>
      <c r="AE52" s="39">
        <f>T52+AD52-AC52</f>
        <v/>
      </c>
      <c r="AF52" s="39">
        <f>Z52*$B$14</f>
        <v/>
      </c>
      <c r="AG52" s="39">
        <f>V52-AF52</f>
        <v/>
      </c>
      <c r="AH52" s="39">
        <f>W52+Z52*$B$16-W52/$B$18</f>
        <v/>
      </c>
      <c r="AI52" s="39">
        <f>Z52*'1_Assumptions'!$B$56/365+AA52*'1_Assumptions'!$B$57/365+Z52*'1_Assumptions'!$B$54-AA52*'1_Assumptions'!$B$58/365-Z52*'1_Assumptions'!$B$55</f>
        <v/>
      </c>
      <c r="AJ52" s="39">
        <f>AB52*(1-$B$15)+AC52+AF52+IF($B$19=1,Z52*'1_Assumptions'!$E$31,0)-AD52-(AI52-X52)</f>
        <v/>
      </c>
      <c r="AK52" s="39">
        <f>Z52*(1+('1_Assumptions'!$E$14+$B52))</f>
        <v/>
      </c>
      <c r="AL52" s="39">
        <f>AK52*(1-'1_Assumptions'!$E$20)</f>
        <v/>
      </c>
      <c r="AM52" s="39">
        <f>AK52-AL52-AK52*$B$11+AK52*$B$12</f>
        <v/>
      </c>
      <c r="AN52" s="39">
        <f>AE52*$B$13</f>
        <v/>
      </c>
      <c r="AO52" s="39">
        <f>AK52*'1_Assumptions'!$E$26</f>
        <v/>
      </c>
      <c r="AP52" s="39">
        <f>AE52+AO52-AN52</f>
        <v/>
      </c>
      <c r="AQ52" s="39">
        <f>AK52*$B$14</f>
        <v/>
      </c>
      <c r="AR52" s="39">
        <f>AG52-AQ52</f>
        <v/>
      </c>
      <c r="AS52" s="39">
        <f>AH52+AK52*$B$16-AH52/$B$18</f>
        <v/>
      </c>
      <c r="AT52" s="39">
        <f>AK52*'1_Assumptions'!$B$56/365+AL52*'1_Assumptions'!$B$57/365+AK52*'1_Assumptions'!$B$54-AL52*'1_Assumptions'!$B$58/365-AK52*'1_Assumptions'!$B$55</f>
        <v/>
      </c>
      <c r="AU52" s="39">
        <f>AM52*(1-$B$15)+AN52+AQ52+IF($B$19=1,AK52*'1_Assumptions'!$E$32,0)-AO52-(AT52-AI52)</f>
        <v/>
      </c>
      <c r="AV52" s="39">
        <f>AK52*(1+('1_Assumptions'!$E$15+$B52))</f>
        <v/>
      </c>
      <c r="AW52" s="39">
        <f>AV52*(1-'1_Assumptions'!$E$21)</f>
        <v/>
      </c>
      <c r="AX52" s="39">
        <f>AV52-AW52-AV52*$B$11+AV52*$B$12</f>
        <v/>
      </c>
      <c r="AY52" s="39">
        <f>AP52*$B$13</f>
        <v/>
      </c>
      <c r="AZ52" s="39">
        <f>AV52*'1_Assumptions'!$E$27</f>
        <v/>
      </c>
      <c r="BA52" s="39">
        <f>AP52+AZ52-AY52</f>
        <v/>
      </c>
      <c r="BB52" s="39">
        <f>AV52*$B$14</f>
        <v/>
      </c>
      <c r="BC52" s="39">
        <f>AR52-BB52</f>
        <v/>
      </c>
      <c r="BD52" s="39">
        <f>AS52+AV52*$B$16-AS52/$B$18</f>
        <v/>
      </c>
      <c r="BE52" s="39">
        <f>AV52*'1_Assumptions'!$B$56/365+AW52*'1_Assumptions'!$B$57/365+AV52*'1_Assumptions'!$B$54-AW52*'1_Assumptions'!$B$58/365-AV52*'1_Assumptions'!$B$55</f>
        <v/>
      </c>
      <c r="BF52" s="39">
        <f>AX52*(1-$B$15)+AY52+BB52+IF($B$19=1,AV52*'1_Assumptions'!$E$33,0)-AZ52-(BE52-AT52)</f>
        <v/>
      </c>
      <c r="BG52" s="39">
        <f>N52/(1+$B$21)^(1-0.5*$B$23)+Y52/(1+$B$21)^(2-0.5*$B$23)+AJ52/(1+$B$21)^(3-0.5*$B$23)+AU52/(1+$B$21)^(4-0.5*$B$23)+BF52/(1+$B$21)^(5-0.5*$B$23)</f>
        <v/>
      </c>
      <c r="BH52" s="39">
        <f>BE52+BA52+BC52+$B$9+IF($B$17=1,BD52,0)</f>
        <v/>
      </c>
      <c r="BI52" s="19">
        <f>IF($B$32=2,$B$21+$B$33,IF(BH52=0,0,BL52/BH52))</f>
        <v/>
      </c>
      <c r="BJ52" s="19">
        <f>IF(BI52=0,9,$C52/BI52)</f>
        <v/>
      </c>
      <c r="BK52" s="55">
        <f>IF(OR(BH52&lt;=0,BI52&lt;=$B$21,BJ52&gt;=1,BJ52&lt;0),1,0)</f>
        <v/>
      </c>
      <c r="BL52" s="39">
        <f>AX52*(1-$B$20)</f>
        <v/>
      </c>
      <c r="BM52" s="39">
        <f>IF(BK52=1,BL52,AX52*(1+$C52)*(1-$B$20)*(1-BJ52))</f>
        <v/>
      </c>
      <c r="BN52" s="39">
        <f>IF(BK52=1,BL52/$B$21,BM52/($B$21-$C52))</f>
        <v/>
      </c>
      <c r="BO52" s="39">
        <f>BN52/(1+$B$21)^(5-0.5*$B$23)</f>
        <v/>
      </c>
      <c r="BP52" s="39">
        <f>BG52+BO52</f>
        <v/>
      </c>
      <c r="BQ52" s="39">
        <f>BP52*(1+$B$21)^$B$24-N52*$B$24*(1+$B$21)^($B$24/2)</f>
        <v/>
      </c>
      <c r="BR52" s="39">
        <f>BQ52-$B$25+$B$26+$B$27</f>
        <v/>
      </c>
      <c r="BS52" s="39">
        <f>IF($B$28=1,$B$30,BR52*$B$29)</f>
        <v/>
      </c>
      <c r="BT52" s="39">
        <f>BR52-BS52</f>
        <v/>
      </c>
      <c r="BU52" s="58">
        <f>BT52/$B$31</f>
        <v/>
      </c>
    </row>
    <row r="53">
      <c r="A53" s="17" t="inlineStr">
        <is>
          <t>4-1</t>
        </is>
      </c>
      <c r="B53" s="26" t="n">
        <v>0.03</v>
      </c>
      <c r="C53" s="26" t="n">
        <v>0.01</v>
      </c>
      <c r="D53" s="39">
        <f>$B$5*(1+('1_Assumptions'!$E$11+IF('1_Assumptions'!$B$39=1,0,$B53)))</f>
        <v/>
      </c>
      <c r="E53" s="39">
        <f>D53*(1-'1_Assumptions'!$E$17)</f>
        <v/>
      </c>
      <c r="F53" s="39">
        <f>D53-E53-D53*$B$11+D53*$B$12</f>
        <v/>
      </c>
      <c r="G53" s="39">
        <f>$B$6*$B$13</f>
        <v/>
      </c>
      <c r="H53" s="39">
        <f>D53*'1_Assumptions'!$E$23</f>
        <v/>
      </c>
      <c r="I53" s="39">
        <f>$B$6+H53-G53</f>
        <v/>
      </c>
      <c r="J53" s="39">
        <f>D53*$B$14</f>
        <v/>
      </c>
      <c r="K53" s="39">
        <f>$B$7-J53</f>
        <v/>
      </c>
      <c r="L53" s="39">
        <f>$B$8+D53*$B$16-$B$8/$B$18</f>
        <v/>
      </c>
      <c r="M53" s="39">
        <f>D53*'1_Assumptions'!$B$56/365+E53*'1_Assumptions'!$B$57/365+D53*'1_Assumptions'!$B$54-E53*'1_Assumptions'!$B$58/365-D53*'1_Assumptions'!$B$55</f>
        <v/>
      </c>
      <c r="N53" s="39">
        <f>F53*(1-$B$15)+G53+J53+IF($B$19=1,D53*'1_Assumptions'!$E$29,0)-H53-(M53-$B$10)</f>
        <v/>
      </c>
      <c r="O53" s="39">
        <f>D53*(1+('1_Assumptions'!$E$12+$B53))</f>
        <v/>
      </c>
      <c r="P53" s="39">
        <f>O53*(1-'1_Assumptions'!$E$18)</f>
        <v/>
      </c>
      <c r="Q53" s="39">
        <f>O53-P53-O53*$B$11+O53*$B$12</f>
        <v/>
      </c>
      <c r="R53" s="39">
        <f>I53*$B$13</f>
        <v/>
      </c>
      <c r="S53" s="39">
        <f>O53*'1_Assumptions'!$E$24</f>
        <v/>
      </c>
      <c r="T53" s="39">
        <f>I53+S53-R53</f>
        <v/>
      </c>
      <c r="U53" s="39">
        <f>O53*$B$14</f>
        <v/>
      </c>
      <c r="V53" s="39">
        <f>K53-U53</f>
        <v/>
      </c>
      <c r="W53" s="39">
        <f>L53+O53*$B$16-L53/$B$18</f>
        <v/>
      </c>
      <c r="X53" s="39">
        <f>O53*'1_Assumptions'!$B$56/365+P53*'1_Assumptions'!$B$57/365+O53*'1_Assumptions'!$B$54-P53*'1_Assumptions'!$B$58/365-O53*'1_Assumptions'!$B$55</f>
        <v/>
      </c>
      <c r="Y53" s="39">
        <f>Q53*(1-$B$15)+R53+U53+IF($B$19=1,O53*'1_Assumptions'!$E$30,0)-S53-(X53-M53)</f>
        <v/>
      </c>
      <c r="Z53" s="39">
        <f>O53*(1+('1_Assumptions'!$E$13+$B53))</f>
        <v/>
      </c>
      <c r="AA53" s="39">
        <f>Z53*(1-'1_Assumptions'!$E$19)</f>
        <v/>
      </c>
      <c r="AB53" s="39">
        <f>Z53-AA53-Z53*$B$11+Z53*$B$12</f>
        <v/>
      </c>
      <c r="AC53" s="39">
        <f>T53*$B$13</f>
        <v/>
      </c>
      <c r="AD53" s="39">
        <f>Z53*'1_Assumptions'!$E$25</f>
        <v/>
      </c>
      <c r="AE53" s="39">
        <f>T53+AD53-AC53</f>
        <v/>
      </c>
      <c r="AF53" s="39">
        <f>Z53*$B$14</f>
        <v/>
      </c>
      <c r="AG53" s="39">
        <f>V53-AF53</f>
        <v/>
      </c>
      <c r="AH53" s="39">
        <f>W53+Z53*$B$16-W53/$B$18</f>
        <v/>
      </c>
      <c r="AI53" s="39">
        <f>Z53*'1_Assumptions'!$B$56/365+AA53*'1_Assumptions'!$B$57/365+Z53*'1_Assumptions'!$B$54-AA53*'1_Assumptions'!$B$58/365-Z53*'1_Assumptions'!$B$55</f>
        <v/>
      </c>
      <c r="AJ53" s="39">
        <f>AB53*(1-$B$15)+AC53+AF53+IF($B$19=1,Z53*'1_Assumptions'!$E$31,0)-AD53-(AI53-X53)</f>
        <v/>
      </c>
      <c r="AK53" s="39">
        <f>Z53*(1+('1_Assumptions'!$E$14+$B53))</f>
        <v/>
      </c>
      <c r="AL53" s="39">
        <f>AK53*(1-'1_Assumptions'!$E$20)</f>
        <v/>
      </c>
      <c r="AM53" s="39">
        <f>AK53-AL53-AK53*$B$11+AK53*$B$12</f>
        <v/>
      </c>
      <c r="AN53" s="39">
        <f>AE53*$B$13</f>
        <v/>
      </c>
      <c r="AO53" s="39">
        <f>AK53*'1_Assumptions'!$E$26</f>
        <v/>
      </c>
      <c r="AP53" s="39">
        <f>AE53+AO53-AN53</f>
        <v/>
      </c>
      <c r="AQ53" s="39">
        <f>AK53*$B$14</f>
        <v/>
      </c>
      <c r="AR53" s="39">
        <f>AG53-AQ53</f>
        <v/>
      </c>
      <c r="AS53" s="39">
        <f>AH53+AK53*$B$16-AH53/$B$18</f>
        <v/>
      </c>
      <c r="AT53" s="39">
        <f>AK53*'1_Assumptions'!$B$56/365+AL53*'1_Assumptions'!$B$57/365+AK53*'1_Assumptions'!$B$54-AL53*'1_Assumptions'!$B$58/365-AK53*'1_Assumptions'!$B$55</f>
        <v/>
      </c>
      <c r="AU53" s="39">
        <f>AM53*(1-$B$15)+AN53+AQ53+IF($B$19=1,AK53*'1_Assumptions'!$E$32,0)-AO53-(AT53-AI53)</f>
        <v/>
      </c>
      <c r="AV53" s="39">
        <f>AK53*(1+('1_Assumptions'!$E$15+$B53))</f>
        <v/>
      </c>
      <c r="AW53" s="39">
        <f>AV53*(1-'1_Assumptions'!$E$21)</f>
        <v/>
      </c>
      <c r="AX53" s="39">
        <f>AV53-AW53-AV53*$B$11+AV53*$B$12</f>
        <v/>
      </c>
      <c r="AY53" s="39">
        <f>AP53*$B$13</f>
        <v/>
      </c>
      <c r="AZ53" s="39">
        <f>AV53*'1_Assumptions'!$E$27</f>
        <v/>
      </c>
      <c r="BA53" s="39">
        <f>AP53+AZ53-AY53</f>
        <v/>
      </c>
      <c r="BB53" s="39">
        <f>AV53*$B$14</f>
        <v/>
      </c>
      <c r="BC53" s="39">
        <f>AR53-BB53</f>
        <v/>
      </c>
      <c r="BD53" s="39">
        <f>AS53+AV53*$B$16-AS53/$B$18</f>
        <v/>
      </c>
      <c r="BE53" s="39">
        <f>AV53*'1_Assumptions'!$B$56/365+AW53*'1_Assumptions'!$B$57/365+AV53*'1_Assumptions'!$B$54-AW53*'1_Assumptions'!$B$58/365-AV53*'1_Assumptions'!$B$55</f>
        <v/>
      </c>
      <c r="BF53" s="39">
        <f>AX53*(1-$B$15)+AY53+BB53+IF($B$19=1,AV53*'1_Assumptions'!$E$33,0)-AZ53-(BE53-AT53)</f>
        <v/>
      </c>
      <c r="BG53" s="39">
        <f>N53/(1+$B$21)^(1-0.5*$B$23)+Y53/(1+$B$21)^(2-0.5*$B$23)+AJ53/(1+$B$21)^(3-0.5*$B$23)+AU53/(1+$B$21)^(4-0.5*$B$23)+BF53/(1+$B$21)^(5-0.5*$B$23)</f>
        <v/>
      </c>
      <c r="BH53" s="39">
        <f>BE53+BA53+BC53+$B$9+IF($B$17=1,BD53,0)</f>
        <v/>
      </c>
      <c r="BI53" s="19">
        <f>IF($B$32=2,$B$21+$B$33,IF(BH53=0,0,BL53/BH53))</f>
        <v/>
      </c>
      <c r="BJ53" s="19">
        <f>IF(BI53=0,9,$C53/BI53)</f>
        <v/>
      </c>
      <c r="BK53" s="55">
        <f>IF(OR(BH53&lt;=0,BI53&lt;=$B$21,BJ53&gt;=1,BJ53&lt;0),1,0)</f>
        <v/>
      </c>
      <c r="BL53" s="39">
        <f>AX53*(1-$B$20)</f>
        <v/>
      </c>
      <c r="BM53" s="39">
        <f>IF(BK53=1,BL53,AX53*(1+$C53)*(1-$B$20)*(1-BJ53))</f>
        <v/>
      </c>
      <c r="BN53" s="39">
        <f>IF(BK53=1,BL53/$B$21,BM53/($B$21-$C53))</f>
        <v/>
      </c>
      <c r="BO53" s="39">
        <f>BN53/(1+$B$21)^(5-0.5*$B$23)</f>
        <v/>
      </c>
      <c r="BP53" s="39">
        <f>BG53+BO53</f>
        <v/>
      </c>
      <c r="BQ53" s="39">
        <f>BP53*(1+$B$21)^$B$24-N53*$B$24*(1+$B$21)^($B$24/2)</f>
        <v/>
      </c>
      <c r="BR53" s="39">
        <f>BQ53-$B$25+$B$26+$B$27</f>
        <v/>
      </c>
      <c r="BS53" s="39">
        <f>IF($B$28=1,$B$30,BR53*$B$29)</f>
        <v/>
      </c>
      <c r="BT53" s="39">
        <f>BR53-BS53</f>
        <v/>
      </c>
      <c r="BU53" s="58">
        <f>BT53/$B$31</f>
        <v/>
      </c>
    </row>
    <row r="54">
      <c r="A54" s="17" t="inlineStr">
        <is>
          <t>4-2</t>
        </is>
      </c>
      <c r="B54" s="26" t="n">
        <v>0.03</v>
      </c>
      <c r="C54" s="26" t="n">
        <v>0.0175</v>
      </c>
      <c r="D54" s="39">
        <f>$B$5*(1+('1_Assumptions'!$E$11+IF('1_Assumptions'!$B$39=1,0,$B54)))</f>
        <v/>
      </c>
      <c r="E54" s="39">
        <f>D54*(1-'1_Assumptions'!$E$17)</f>
        <v/>
      </c>
      <c r="F54" s="39">
        <f>D54-E54-D54*$B$11+D54*$B$12</f>
        <v/>
      </c>
      <c r="G54" s="39">
        <f>$B$6*$B$13</f>
        <v/>
      </c>
      <c r="H54" s="39">
        <f>D54*'1_Assumptions'!$E$23</f>
        <v/>
      </c>
      <c r="I54" s="39">
        <f>$B$6+H54-G54</f>
        <v/>
      </c>
      <c r="J54" s="39">
        <f>D54*$B$14</f>
        <v/>
      </c>
      <c r="K54" s="39">
        <f>$B$7-J54</f>
        <v/>
      </c>
      <c r="L54" s="39">
        <f>$B$8+D54*$B$16-$B$8/$B$18</f>
        <v/>
      </c>
      <c r="M54" s="39">
        <f>D54*'1_Assumptions'!$B$56/365+E54*'1_Assumptions'!$B$57/365+D54*'1_Assumptions'!$B$54-E54*'1_Assumptions'!$B$58/365-D54*'1_Assumptions'!$B$55</f>
        <v/>
      </c>
      <c r="N54" s="39">
        <f>F54*(1-$B$15)+G54+J54+IF($B$19=1,D54*'1_Assumptions'!$E$29,0)-H54-(M54-$B$10)</f>
        <v/>
      </c>
      <c r="O54" s="39">
        <f>D54*(1+('1_Assumptions'!$E$12+$B54))</f>
        <v/>
      </c>
      <c r="P54" s="39">
        <f>O54*(1-'1_Assumptions'!$E$18)</f>
        <v/>
      </c>
      <c r="Q54" s="39">
        <f>O54-P54-O54*$B$11+O54*$B$12</f>
        <v/>
      </c>
      <c r="R54" s="39">
        <f>I54*$B$13</f>
        <v/>
      </c>
      <c r="S54" s="39">
        <f>O54*'1_Assumptions'!$E$24</f>
        <v/>
      </c>
      <c r="T54" s="39">
        <f>I54+S54-R54</f>
        <v/>
      </c>
      <c r="U54" s="39">
        <f>O54*$B$14</f>
        <v/>
      </c>
      <c r="V54" s="39">
        <f>K54-U54</f>
        <v/>
      </c>
      <c r="W54" s="39">
        <f>L54+O54*$B$16-L54/$B$18</f>
        <v/>
      </c>
      <c r="X54" s="39">
        <f>O54*'1_Assumptions'!$B$56/365+P54*'1_Assumptions'!$B$57/365+O54*'1_Assumptions'!$B$54-P54*'1_Assumptions'!$B$58/365-O54*'1_Assumptions'!$B$55</f>
        <v/>
      </c>
      <c r="Y54" s="39">
        <f>Q54*(1-$B$15)+R54+U54+IF($B$19=1,O54*'1_Assumptions'!$E$30,0)-S54-(X54-M54)</f>
        <v/>
      </c>
      <c r="Z54" s="39">
        <f>O54*(1+('1_Assumptions'!$E$13+$B54))</f>
        <v/>
      </c>
      <c r="AA54" s="39">
        <f>Z54*(1-'1_Assumptions'!$E$19)</f>
        <v/>
      </c>
      <c r="AB54" s="39">
        <f>Z54-AA54-Z54*$B$11+Z54*$B$12</f>
        <v/>
      </c>
      <c r="AC54" s="39">
        <f>T54*$B$13</f>
        <v/>
      </c>
      <c r="AD54" s="39">
        <f>Z54*'1_Assumptions'!$E$25</f>
        <v/>
      </c>
      <c r="AE54" s="39">
        <f>T54+AD54-AC54</f>
        <v/>
      </c>
      <c r="AF54" s="39">
        <f>Z54*$B$14</f>
        <v/>
      </c>
      <c r="AG54" s="39">
        <f>V54-AF54</f>
        <v/>
      </c>
      <c r="AH54" s="39">
        <f>W54+Z54*$B$16-W54/$B$18</f>
        <v/>
      </c>
      <c r="AI54" s="39">
        <f>Z54*'1_Assumptions'!$B$56/365+AA54*'1_Assumptions'!$B$57/365+Z54*'1_Assumptions'!$B$54-AA54*'1_Assumptions'!$B$58/365-Z54*'1_Assumptions'!$B$55</f>
        <v/>
      </c>
      <c r="AJ54" s="39">
        <f>AB54*(1-$B$15)+AC54+AF54+IF($B$19=1,Z54*'1_Assumptions'!$E$31,0)-AD54-(AI54-X54)</f>
        <v/>
      </c>
      <c r="AK54" s="39">
        <f>Z54*(1+('1_Assumptions'!$E$14+$B54))</f>
        <v/>
      </c>
      <c r="AL54" s="39">
        <f>AK54*(1-'1_Assumptions'!$E$20)</f>
        <v/>
      </c>
      <c r="AM54" s="39">
        <f>AK54-AL54-AK54*$B$11+AK54*$B$12</f>
        <v/>
      </c>
      <c r="AN54" s="39">
        <f>AE54*$B$13</f>
        <v/>
      </c>
      <c r="AO54" s="39">
        <f>AK54*'1_Assumptions'!$E$26</f>
        <v/>
      </c>
      <c r="AP54" s="39">
        <f>AE54+AO54-AN54</f>
        <v/>
      </c>
      <c r="AQ54" s="39">
        <f>AK54*$B$14</f>
        <v/>
      </c>
      <c r="AR54" s="39">
        <f>AG54-AQ54</f>
        <v/>
      </c>
      <c r="AS54" s="39">
        <f>AH54+AK54*$B$16-AH54/$B$18</f>
        <v/>
      </c>
      <c r="AT54" s="39">
        <f>AK54*'1_Assumptions'!$B$56/365+AL54*'1_Assumptions'!$B$57/365+AK54*'1_Assumptions'!$B$54-AL54*'1_Assumptions'!$B$58/365-AK54*'1_Assumptions'!$B$55</f>
        <v/>
      </c>
      <c r="AU54" s="39">
        <f>AM54*(1-$B$15)+AN54+AQ54+IF($B$19=1,AK54*'1_Assumptions'!$E$32,0)-AO54-(AT54-AI54)</f>
        <v/>
      </c>
      <c r="AV54" s="39">
        <f>AK54*(1+('1_Assumptions'!$E$15+$B54))</f>
        <v/>
      </c>
      <c r="AW54" s="39">
        <f>AV54*(1-'1_Assumptions'!$E$21)</f>
        <v/>
      </c>
      <c r="AX54" s="39">
        <f>AV54-AW54-AV54*$B$11+AV54*$B$12</f>
        <v/>
      </c>
      <c r="AY54" s="39">
        <f>AP54*$B$13</f>
        <v/>
      </c>
      <c r="AZ54" s="39">
        <f>AV54*'1_Assumptions'!$E$27</f>
        <v/>
      </c>
      <c r="BA54" s="39">
        <f>AP54+AZ54-AY54</f>
        <v/>
      </c>
      <c r="BB54" s="39">
        <f>AV54*$B$14</f>
        <v/>
      </c>
      <c r="BC54" s="39">
        <f>AR54-BB54</f>
        <v/>
      </c>
      <c r="BD54" s="39">
        <f>AS54+AV54*$B$16-AS54/$B$18</f>
        <v/>
      </c>
      <c r="BE54" s="39">
        <f>AV54*'1_Assumptions'!$B$56/365+AW54*'1_Assumptions'!$B$57/365+AV54*'1_Assumptions'!$B$54-AW54*'1_Assumptions'!$B$58/365-AV54*'1_Assumptions'!$B$55</f>
        <v/>
      </c>
      <c r="BF54" s="39">
        <f>AX54*(1-$B$15)+AY54+BB54+IF($B$19=1,AV54*'1_Assumptions'!$E$33,0)-AZ54-(BE54-AT54)</f>
        <v/>
      </c>
      <c r="BG54" s="39">
        <f>N54/(1+$B$21)^(1-0.5*$B$23)+Y54/(1+$B$21)^(2-0.5*$B$23)+AJ54/(1+$B$21)^(3-0.5*$B$23)+AU54/(1+$B$21)^(4-0.5*$B$23)+BF54/(1+$B$21)^(5-0.5*$B$23)</f>
        <v/>
      </c>
      <c r="BH54" s="39">
        <f>BE54+BA54+BC54+$B$9+IF($B$17=1,BD54,0)</f>
        <v/>
      </c>
      <c r="BI54" s="19">
        <f>IF($B$32=2,$B$21+$B$33,IF(BH54=0,0,BL54/BH54))</f>
        <v/>
      </c>
      <c r="BJ54" s="19">
        <f>IF(BI54=0,9,$C54/BI54)</f>
        <v/>
      </c>
      <c r="BK54" s="55">
        <f>IF(OR(BH54&lt;=0,BI54&lt;=$B$21,BJ54&gt;=1,BJ54&lt;0),1,0)</f>
        <v/>
      </c>
      <c r="BL54" s="39">
        <f>AX54*(1-$B$20)</f>
        <v/>
      </c>
      <c r="BM54" s="39">
        <f>IF(BK54=1,BL54,AX54*(1+$C54)*(1-$B$20)*(1-BJ54))</f>
        <v/>
      </c>
      <c r="BN54" s="39">
        <f>IF(BK54=1,BL54/$B$21,BM54/($B$21-$C54))</f>
        <v/>
      </c>
      <c r="BO54" s="39">
        <f>BN54/(1+$B$21)^(5-0.5*$B$23)</f>
        <v/>
      </c>
      <c r="BP54" s="39">
        <f>BG54+BO54</f>
        <v/>
      </c>
      <c r="BQ54" s="39">
        <f>BP54*(1+$B$21)^$B$24-N54*$B$24*(1+$B$21)^($B$24/2)</f>
        <v/>
      </c>
      <c r="BR54" s="39">
        <f>BQ54-$B$25+$B$26+$B$27</f>
        <v/>
      </c>
      <c r="BS54" s="39">
        <f>IF($B$28=1,$B$30,BR54*$B$29)</f>
        <v/>
      </c>
      <c r="BT54" s="39">
        <f>BR54-BS54</f>
        <v/>
      </c>
      <c r="BU54" s="58">
        <f>BT54/$B$31</f>
        <v/>
      </c>
    </row>
    <row r="55">
      <c r="A55" s="17" t="inlineStr">
        <is>
          <t>4-3</t>
        </is>
      </c>
      <c r="B55" s="26" t="n">
        <v>0.03</v>
      </c>
      <c r="C55" s="26" t="n">
        <v>0.025</v>
      </c>
      <c r="D55" s="39">
        <f>$B$5*(1+('1_Assumptions'!$E$11+IF('1_Assumptions'!$B$39=1,0,$B55)))</f>
        <v/>
      </c>
      <c r="E55" s="39">
        <f>D55*(1-'1_Assumptions'!$E$17)</f>
        <v/>
      </c>
      <c r="F55" s="39">
        <f>D55-E55-D55*$B$11+D55*$B$12</f>
        <v/>
      </c>
      <c r="G55" s="39">
        <f>$B$6*$B$13</f>
        <v/>
      </c>
      <c r="H55" s="39">
        <f>D55*'1_Assumptions'!$E$23</f>
        <v/>
      </c>
      <c r="I55" s="39">
        <f>$B$6+H55-G55</f>
        <v/>
      </c>
      <c r="J55" s="39">
        <f>D55*$B$14</f>
        <v/>
      </c>
      <c r="K55" s="39">
        <f>$B$7-J55</f>
        <v/>
      </c>
      <c r="L55" s="39">
        <f>$B$8+D55*$B$16-$B$8/$B$18</f>
        <v/>
      </c>
      <c r="M55" s="39">
        <f>D55*'1_Assumptions'!$B$56/365+E55*'1_Assumptions'!$B$57/365+D55*'1_Assumptions'!$B$54-E55*'1_Assumptions'!$B$58/365-D55*'1_Assumptions'!$B$55</f>
        <v/>
      </c>
      <c r="N55" s="39">
        <f>F55*(1-$B$15)+G55+J55+IF($B$19=1,D55*'1_Assumptions'!$E$29,0)-H55-(M55-$B$10)</f>
        <v/>
      </c>
      <c r="O55" s="39">
        <f>D55*(1+('1_Assumptions'!$E$12+$B55))</f>
        <v/>
      </c>
      <c r="P55" s="39">
        <f>O55*(1-'1_Assumptions'!$E$18)</f>
        <v/>
      </c>
      <c r="Q55" s="39">
        <f>O55-P55-O55*$B$11+O55*$B$12</f>
        <v/>
      </c>
      <c r="R55" s="39">
        <f>I55*$B$13</f>
        <v/>
      </c>
      <c r="S55" s="39">
        <f>O55*'1_Assumptions'!$E$24</f>
        <v/>
      </c>
      <c r="T55" s="39">
        <f>I55+S55-R55</f>
        <v/>
      </c>
      <c r="U55" s="39">
        <f>O55*$B$14</f>
        <v/>
      </c>
      <c r="V55" s="39">
        <f>K55-U55</f>
        <v/>
      </c>
      <c r="W55" s="39">
        <f>L55+O55*$B$16-L55/$B$18</f>
        <v/>
      </c>
      <c r="X55" s="39">
        <f>O55*'1_Assumptions'!$B$56/365+P55*'1_Assumptions'!$B$57/365+O55*'1_Assumptions'!$B$54-P55*'1_Assumptions'!$B$58/365-O55*'1_Assumptions'!$B$55</f>
        <v/>
      </c>
      <c r="Y55" s="39">
        <f>Q55*(1-$B$15)+R55+U55+IF($B$19=1,O55*'1_Assumptions'!$E$30,0)-S55-(X55-M55)</f>
        <v/>
      </c>
      <c r="Z55" s="39">
        <f>O55*(1+('1_Assumptions'!$E$13+$B55))</f>
        <v/>
      </c>
      <c r="AA55" s="39">
        <f>Z55*(1-'1_Assumptions'!$E$19)</f>
        <v/>
      </c>
      <c r="AB55" s="39">
        <f>Z55-AA55-Z55*$B$11+Z55*$B$12</f>
        <v/>
      </c>
      <c r="AC55" s="39">
        <f>T55*$B$13</f>
        <v/>
      </c>
      <c r="AD55" s="39">
        <f>Z55*'1_Assumptions'!$E$25</f>
        <v/>
      </c>
      <c r="AE55" s="39">
        <f>T55+AD55-AC55</f>
        <v/>
      </c>
      <c r="AF55" s="39">
        <f>Z55*$B$14</f>
        <v/>
      </c>
      <c r="AG55" s="39">
        <f>V55-AF55</f>
        <v/>
      </c>
      <c r="AH55" s="39">
        <f>W55+Z55*$B$16-W55/$B$18</f>
        <v/>
      </c>
      <c r="AI55" s="39">
        <f>Z55*'1_Assumptions'!$B$56/365+AA55*'1_Assumptions'!$B$57/365+Z55*'1_Assumptions'!$B$54-AA55*'1_Assumptions'!$B$58/365-Z55*'1_Assumptions'!$B$55</f>
        <v/>
      </c>
      <c r="AJ55" s="39">
        <f>AB55*(1-$B$15)+AC55+AF55+IF($B$19=1,Z55*'1_Assumptions'!$E$31,0)-AD55-(AI55-X55)</f>
        <v/>
      </c>
      <c r="AK55" s="39">
        <f>Z55*(1+('1_Assumptions'!$E$14+$B55))</f>
        <v/>
      </c>
      <c r="AL55" s="39">
        <f>AK55*(1-'1_Assumptions'!$E$20)</f>
        <v/>
      </c>
      <c r="AM55" s="39">
        <f>AK55-AL55-AK55*$B$11+AK55*$B$12</f>
        <v/>
      </c>
      <c r="AN55" s="39">
        <f>AE55*$B$13</f>
        <v/>
      </c>
      <c r="AO55" s="39">
        <f>AK55*'1_Assumptions'!$E$26</f>
        <v/>
      </c>
      <c r="AP55" s="39">
        <f>AE55+AO55-AN55</f>
        <v/>
      </c>
      <c r="AQ55" s="39">
        <f>AK55*$B$14</f>
        <v/>
      </c>
      <c r="AR55" s="39">
        <f>AG55-AQ55</f>
        <v/>
      </c>
      <c r="AS55" s="39">
        <f>AH55+AK55*$B$16-AH55/$B$18</f>
        <v/>
      </c>
      <c r="AT55" s="39">
        <f>AK55*'1_Assumptions'!$B$56/365+AL55*'1_Assumptions'!$B$57/365+AK55*'1_Assumptions'!$B$54-AL55*'1_Assumptions'!$B$58/365-AK55*'1_Assumptions'!$B$55</f>
        <v/>
      </c>
      <c r="AU55" s="39">
        <f>AM55*(1-$B$15)+AN55+AQ55+IF($B$19=1,AK55*'1_Assumptions'!$E$32,0)-AO55-(AT55-AI55)</f>
        <v/>
      </c>
      <c r="AV55" s="39">
        <f>AK55*(1+('1_Assumptions'!$E$15+$B55))</f>
        <v/>
      </c>
      <c r="AW55" s="39">
        <f>AV55*(1-'1_Assumptions'!$E$21)</f>
        <v/>
      </c>
      <c r="AX55" s="39">
        <f>AV55-AW55-AV55*$B$11+AV55*$B$12</f>
        <v/>
      </c>
      <c r="AY55" s="39">
        <f>AP55*$B$13</f>
        <v/>
      </c>
      <c r="AZ55" s="39">
        <f>AV55*'1_Assumptions'!$E$27</f>
        <v/>
      </c>
      <c r="BA55" s="39">
        <f>AP55+AZ55-AY55</f>
        <v/>
      </c>
      <c r="BB55" s="39">
        <f>AV55*$B$14</f>
        <v/>
      </c>
      <c r="BC55" s="39">
        <f>AR55-BB55</f>
        <v/>
      </c>
      <c r="BD55" s="39">
        <f>AS55+AV55*$B$16-AS55/$B$18</f>
        <v/>
      </c>
      <c r="BE55" s="39">
        <f>AV55*'1_Assumptions'!$B$56/365+AW55*'1_Assumptions'!$B$57/365+AV55*'1_Assumptions'!$B$54-AW55*'1_Assumptions'!$B$58/365-AV55*'1_Assumptions'!$B$55</f>
        <v/>
      </c>
      <c r="BF55" s="39">
        <f>AX55*(1-$B$15)+AY55+BB55+IF($B$19=1,AV55*'1_Assumptions'!$E$33,0)-AZ55-(BE55-AT55)</f>
        <v/>
      </c>
      <c r="BG55" s="39">
        <f>N55/(1+$B$21)^(1-0.5*$B$23)+Y55/(1+$B$21)^(2-0.5*$B$23)+AJ55/(1+$B$21)^(3-0.5*$B$23)+AU55/(1+$B$21)^(4-0.5*$B$23)+BF55/(1+$B$21)^(5-0.5*$B$23)</f>
        <v/>
      </c>
      <c r="BH55" s="39">
        <f>BE55+BA55+BC55+$B$9+IF($B$17=1,BD55,0)</f>
        <v/>
      </c>
      <c r="BI55" s="19">
        <f>IF($B$32=2,$B$21+$B$33,IF(BH55=0,0,BL55/BH55))</f>
        <v/>
      </c>
      <c r="BJ55" s="19">
        <f>IF(BI55=0,9,$C55/BI55)</f>
        <v/>
      </c>
      <c r="BK55" s="55">
        <f>IF(OR(BH55&lt;=0,BI55&lt;=$B$21,BJ55&gt;=1,BJ55&lt;0),1,0)</f>
        <v/>
      </c>
      <c r="BL55" s="39">
        <f>AX55*(1-$B$20)</f>
        <v/>
      </c>
      <c r="BM55" s="39">
        <f>IF(BK55=1,BL55,AX55*(1+$C55)*(1-$B$20)*(1-BJ55))</f>
        <v/>
      </c>
      <c r="BN55" s="39">
        <f>IF(BK55=1,BL55/$B$21,BM55/($B$21-$C55))</f>
        <v/>
      </c>
      <c r="BO55" s="39">
        <f>BN55/(1+$B$21)^(5-0.5*$B$23)</f>
        <v/>
      </c>
      <c r="BP55" s="39">
        <f>BG55+BO55</f>
        <v/>
      </c>
      <c r="BQ55" s="39">
        <f>BP55*(1+$B$21)^$B$24-N55*$B$24*(1+$B$21)^($B$24/2)</f>
        <v/>
      </c>
      <c r="BR55" s="39">
        <f>BQ55-$B$25+$B$26+$B$27</f>
        <v/>
      </c>
      <c r="BS55" s="39">
        <f>IF($B$28=1,$B$30,BR55*$B$29)</f>
        <v/>
      </c>
      <c r="BT55" s="39">
        <f>BR55-BS55</f>
        <v/>
      </c>
      <c r="BU55" s="58">
        <f>BT55/$B$31</f>
        <v/>
      </c>
    </row>
    <row r="56">
      <c r="A56" s="17" t="inlineStr">
        <is>
          <t>4-4</t>
        </is>
      </c>
      <c r="B56" s="26" t="n">
        <v>0.03</v>
      </c>
      <c r="C56" s="26" t="n">
        <v>0.0325</v>
      </c>
      <c r="D56" s="39">
        <f>$B$5*(1+('1_Assumptions'!$E$11+IF('1_Assumptions'!$B$39=1,0,$B56)))</f>
        <v/>
      </c>
      <c r="E56" s="39">
        <f>D56*(1-'1_Assumptions'!$E$17)</f>
        <v/>
      </c>
      <c r="F56" s="39">
        <f>D56-E56-D56*$B$11+D56*$B$12</f>
        <v/>
      </c>
      <c r="G56" s="39">
        <f>$B$6*$B$13</f>
        <v/>
      </c>
      <c r="H56" s="39">
        <f>D56*'1_Assumptions'!$E$23</f>
        <v/>
      </c>
      <c r="I56" s="39">
        <f>$B$6+H56-G56</f>
        <v/>
      </c>
      <c r="J56" s="39">
        <f>D56*$B$14</f>
        <v/>
      </c>
      <c r="K56" s="39">
        <f>$B$7-J56</f>
        <v/>
      </c>
      <c r="L56" s="39">
        <f>$B$8+D56*$B$16-$B$8/$B$18</f>
        <v/>
      </c>
      <c r="M56" s="39">
        <f>D56*'1_Assumptions'!$B$56/365+E56*'1_Assumptions'!$B$57/365+D56*'1_Assumptions'!$B$54-E56*'1_Assumptions'!$B$58/365-D56*'1_Assumptions'!$B$55</f>
        <v/>
      </c>
      <c r="N56" s="39">
        <f>F56*(1-$B$15)+G56+J56+IF($B$19=1,D56*'1_Assumptions'!$E$29,0)-H56-(M56-$B$10)</f>
        <v/>
      </c>
      <c r="O56" s="39">
        <f>D56*(1+('1_Assumptions'!$E$12+$B56))</f>
        <v/>
      </c>
      <c r="P56" s="39">
        <f>O56*(1-'1_Assumptions'!$E$18)</f>
        <v/>
      </c>
      <c r="Q56" s="39">
        <f>O56-P56-O56*$B$11+O56*$B$12</f>
        <v/>
      </c>
      <c r="R56" s="39">
        <f>I56*$B$13</f>
        <v/>
      </c>
      <c r="S56" s="39">
        <f>O56*'1_Assumptions'!$E$24</f>
        <v/>
      </c>
      <c r="T56" s="39">
        <f>I56+S56-R56</f>
        <v/>
      </c>
      <c r="U56" s="39">
        <f>O56*$B$14</f>
        <v/>
      </c>
      <c r="V56" s="39">
        <f>K56-U56</f>
        <v/>
      </c>
      <c r="W56" s="39">
        <f>L56+O56*$B$16-L56/$B$18</f>
        <v/>
      </c>
      <c r="X56" s="39">
        <f>O56*'1_Assumptions'!$B$56/365+P56*'1_Assumptions'!$B$57/365+O56*'1_Assumptions'!$B$54-P56*'1_Assumptions'!$B$58/365-O56*'1_Assumptions'!$B$55</f>
        <v/>
      </c>
      <c r="Y56" s="39">
        <f>Q56*(1-$B$15)+R56+U56+IF($B$19=1,O56*'1_Assumptions'!$E$30,0)-S56-(X56-M56)</f>
        <v/>
      </c>
      <c r="Z56" s="39">
        <f>O56*(1+('1_Assumptions'!$E$13+$B56))</f>
        <v/>
      </c>
      <c r="AA56" s="39">
        <f>Z56*(1-'1_Assumptions'!$E$19)</f>
        <v/>
      </c>
      <c r="AB56" s="39">
        <f>Z56-AA56-Z56*$B$11+Z56*$B$12</f>
        <v/>
      </c>
      <c r="AC56" s="39">
        <f>T56*$B$13</f>
        <v/>
      </c>
      <c r="AD56" s="39">
        <f>Z56*'1_Assumptions'!$E$25</f>
        <v/>
      </c>
      <c r="AE56" s="39">
        <f>T56+AD56-AC56</f>
        <v/>
      </c>
      <c r="AF56" s="39">
        <f>Z56*$B$14</f>
        <v/>
      </c>
      <c r="AG56" s="39">
        <f>V56-AF56</f>
        <v/>
      </c>
      <c r="AH56" s="39">
        <f>W56+Z56*$B$16-W56/$B$18</f>
        <v/>
      </c>
      <c r="AI56" s="39">
        <f>Z56*'1_Assumptions'!$B$56/365+AA56*'1_Assumptions'!$B$57/365+Z56*'1_Assumptions'!$B$54-AA56*'1_Assumptions'!$B$58/365-Z56*'1_Assumptions'!$B$55</f>
        <v/>
      </c>
      <c r="AJ56" s="39">
        <f>AB56*(1-$B$15)+AC56+AF56+IF($B$19=1,Z56*'1_Assumptions'!$E$31,0)-AD56-(AI56-X56)</f>
        <v/>
      </c>
      <c r="AK56" s="39">
        <f>Z56*(1+('1_Assumptions'!$E$14+$B56))</f>
        <v/>
      </c>
      <c r="AL56" s="39">
        <f>AK56*(1-'1_Assumptions'!$E$20)</f>
        <v/>
      </c>
      <c r="AM56" s="39">
        <f>AK56-AL56-AK56*$B$11+AK56*$B$12</f>
        <v/>
      </c>
      <c r="AN56" s="39">
        <f>AE56*$B$13</f>
        <v/>
      </c>
      <c r="AO56" s="39">
        <f>AK56*'1_Assumptions'!$E$26</f>
        <v/>
      </c>
      <c r="AP56" s="39">
        <f>AE56+AO56-AN56</f>
        <v/>
      </c>
      <c r="AQ56" s="39">
        <f>AK56*$B$14</f>
        <v/>
      </c>
      <c r="AR56" s="39">
        <f>AG56-AQ56</f>
        <v/>
      </c>
      <c r="AS56" s="39">
        <f>AH56+AK56*$B$16-AH56/$B$18</f>
        <v/>
      </c>
      <c r="AT56" s="39">
        <f>AK56*'1_Assumptions'!$B$56/365+AL56*'1_Assumptions'!$B$57/365+AK56*'1_Assumptions'!$B$54-AL56*'1_Assumptions'!$B$58/365-AK56*'1_Assumptions'!$B$55</f>
        <v/>
      </c>
      <c r="AU56" s="39">
        <f>AM56*(1-$B$15)+AN56+AQ56+IF($B$19=1,AK56*'1_Assumptions'!$E$32,0)-AO56-(AT56-AI56)</f>
        <v/>
      </c>
      <c r="AV56" s="39">
        <f>AK56*(1+('1_Assumptions'!$E$15+$B56))</f>
        <v/>
      </c>
      <c r="AW56" s="39">
        <f>AV56*(1-'1_Assumptions'!$E$21)</f>
        <v/>
      </c>
      <c r="AX56" s="39">
        <f>AV56-AW56-AV56*$B$11+AV56*$B$12</f>
        <v/>
      </c>
      <c r="AY56" s="39">
        <f>AP56*$B$13</f>
        <v/>
      </c>
      <c r="AZ56" s="39">
        <f>AV56*'1_Assumptions'!$E$27</f>
        <v/>
      </c>
      <c r="BA56" s="39">
        <f>AP56+AZ56-AY56</f>
        <v/>
      </c>
      <c r="BB56" s="39">
        <f>AV56*$B$14</f>
        <v/>
      </c>
      <c r="BC56" s="39">
        <f>AR56-BB56</f>
        <v/>
      </c>
      <c r="BD56" s="39">
        <f>AS56+AV56*$B$16-AS56/$B$18</f>
        <v/>
      </c>
      <c r="BE56" s="39">
        <f>AV56*'1_Assumptions'!$B$56/365+AW56*'1_Assumptions'!$B$57/365+AV56*'1_Assumptions'!$B$54-AW56*'1_Assumptions'!$B$58/365-AV56*'1_Assumptions'!$B$55</f>
        <v/>
      </c>
      <c r="BF56" s="39">
        <f>AX56*(1-$B$15)+AY56+BB56+IF($B$19=1,AV56*'1_Assumptions'!$E$33,0)-AZ56-(BE56-AT56)</f>
        <v/>
      </c>
      <c r="BG56" s="39">
        <f>N56/(1+$B$21)^(1-0.5*$B$23)+Y56/(1+$B$21)^(2-0.5*$B$23)+AJ56/(1+$B$21)^(3-0.5*$B$23)+AU56/(1+$B$21)^(4-0.5*$B$23)+BF56/(1+$B$21)^(5-0.5*$B$23)</f>
        <v/>
      </c>
      <c r="BH56" s="39">
        <f>BE56+BA56+BC56+$B$9+IF($B$17=1,BD56,0)</f>
        <v/>
      </c>
      <c r="BI56" s="19">
        <f>IF($B$32=2,$B$21+$B$33,IF(BH56=0,0,BL56/BH56))</f>
        <v/>
      </c>
      <c r="BJ56" s="19">
        <f>IF(BI56=0,9,$C56/BI56)</f>
        <v/>
      </c>
      <c r="BK56" s="55">
        <f>IF(OR(BH56&lt;=0,BI56&lt;=$B$21,BJ56&gt;=1,BJ56&lt;0),1,0)</f>
        <v/>
      </c>
      <c r="BL56" s="39">
        <f>AX56*(1-$B$20)</f>
        <v/>
      </c>
      <c r="BM56" s="39">
        <f>IF(BK56=1,BL56,AX56*(1+$C56)*(1-$B$20)*(1-BJ56))</f>
        <v/>
      </c>
      <c r="BN56" s="39">
        <f>IF(BK56=1,BL56/$B$21,BM56/($B$21-$C56))</f>
        <v/>
      </c>
      <c r="BO56" s="39">
        <f>BN56/(1+$B$21)^(5-0.5*$B$23)</f>
        <v/>
      </c>
      <c r="BP56" s="39">
        <f>BG56+BO56</f>
        <v/>
      </c>
      <c r="BQ56" s="39">
        <f>BP56*(1+$B$21)^$B$24-N56*$B$24*(1+$B$21)^($B$24/2)</f>
        <v/>
      </c>
      <c r="BR56" s="39">
        <f>BQ56-$B$25+$B$26+$B$27</f>
        <v/>
      </c>
      <c r="BS56" s="39">
        <f>IF($B$28=1,$B$30,BR56*$B$29)</f>
        <v/>
      </c>
      <c r="BT56" s="39">
        <f>BR56-BS56</f>
        <v/>
      </c>
      <c r="BU56" s="58">
        <f>BT56/$B$31</f>
        <v/>
      </c>
    </row>
    <row r="57">
      <c r="A57" s="17" t="inlineStr">
        <is>
          <t>4-5</t>
        </is>
      </c>
      <c r="B57" s="26" t="n">
        <v>0.03</v>
      </c>
      <c r="C57" s="26" t="n">
        <v>0.04</v>
      </c>
      <c r="D57" s="39">
        <f>$B$5*(1+('1_Assumptions'!$E$11+IF('1_Assumptions'!$B$39=1,0,$B57)))</f>
        <v/>
      </c>
      <c r="E57" s="39">
        <f>D57*(1-'1_Assumptions'!$E$17)</f>
        <v/>
      </c>
      <c r="F57" s="39">
        <f>D57-E57-D57*$B$11+D57*$B$12</f>
        <v/>
      </c>
      <c r="G57" s="39">
        <f>$B$6*$B$13</f>
        <v/>
      </c>
      <c r="H57" s="39">
        <f>D57*'1_Assumptions'!$E$23</f>
        <v/>
      </c>
      <c r="I57" s="39">
        <f>$B$6+H57-G57</f>
        <v/>
      </c>
      <c r="J57" s="39">
        <f>D57*$B$14</f>
        <v/>
      </c>
      <c r="K57" s="39">
        <f>$B$7-J57</f>
        <v/>
      </c>
      <c r="L57" s="39">
        <f>$B$8+D57*$B$16-$B$8/$B$18</f>
        <v/>
      </c>
      <c r="M57" s="39">
        <f>D57*'1_Assumptions'!$B$56/365+E57*'1_Assumptions'!$B$57/365+D57*'1_Assumptions'!$B$54-E57*'1_Assumptions'!$B$58/365-D57*'1_Assumptions'!$B$55</f>
        <v/>
      </c>
      <c r="N57" s="39">
        <f>F57*(1-$B$15)+G57+J57+IF($B$19=1,D57*'1_Assumptions'!$E$29,0)-H57-(M57-$B$10)</f>
        <v/>
      </c>
      <c r="O57" s="39">
        <f>D57*(1+('1_Assumptions'!$E$12+$B57))</f>
        <v/>
      </c>
      <c r="P57" s="39">
        <f>O57*(1-'1_Assumptions'!$E$18)</f>
        <v/>
      </c>
      <c r="Q57" s="39">
        <f>O57-P57-O57*$B$11+O57*$B$12</f>
        <v/>
      </c>
      <c r="R57" s="39">
        <f>I57*$B$13</f>
        <v/>
      </c>
      <c r="S57" s="39">
        <f>O57*'1_Assumptions'!$E$24</f>
        <v/>
      </c>
      <c r="T57" s="39">
        <f>I57+S57-R57</f>
        <v/>
      </c>
      <c r="U57" s="39">
        <f>O57*$B$14</f>
        <v/>
      </c>
      <c r="V57" s="39">
        <f>K57-U57</f>
        <v/>
      </c>
      <c r="W57" s="39">
        <f>L57+O57*$B$16-L57/$B$18</f>
        <v/>
      </c>
      <c r="X57" s="39">
        <f>O57*'1_Assumptions'!$B$56/365+P57*'1_Assumptions'!$B$57/365+O57*'1_Assumptions'!$B$54-P57*'1_Assumptions'!$B$58/365-O57*'1_Assumptions'!$B$55</f>
        <v/>
      </c>
      <c r="Y57" s="39">
        <f>Q57*(1-$B$15)+R57+U57+IF($B$19=1,O57*'1_Assumptions'!$E$30,0)-S57-(X57-M57)</f>
        <v/>
      </c>
      <c r="Z57" s="39">
        <f>O57*(1+('1_Assumptions'!$E$13+$B57))</f>
        <v/>
      </c>
      <c r="AA57" s="39">
        <f>Z57*(1-'1_Assumptions'!$E$19)</f>
        <v/>
      </c>
      <c r="AB57" s="39">
        <f>Z57-AA57-Z57*$B$11+Z57*$B$12</f>
        <v/>
      </c>
      <c r="AC57" s="39">
        <f>T57*$B$13</f>
        <v/>
      </c>
      <c r="AD57" s="39">
        <f>Z57*'1_Assumptions'!$E$25</f>
        <v/>
      </c>
      <c r="AE57" s="39">
        <f>T57+AD57-AC57</f>
        <v/>
      </c>
      <c r="AF57" s="39">
        <f>Z57*$B$14</f>
        <v/>
      </c>
      <c r="AG57" s="39">
        <f>V57-AF57</f>
        <v/>
      </c>
      <c r="AH57" s="39">
        <f>W57+Z57*$B$16-W57/$B$18</f>
        <v/>
      </c>
      <c r="AI57" s="39">
        <f>Z57*'1_Assumptions'!$B$56/365+AA57*'1_Assumptions'!$B$57/365+Z57*'1_Assumptions'!$B$54-AA57*'1_Assumptions'!$B$58/365-Z57*'1_Assumptions'!$B$55</f>
        <v/>
      </c>
      <c r="AJ57" s="39">
        <f>AB57*(1-$B$15)+AC57+AF57+IF($B$19=1,Z57*'1_Assumptions'!$E$31,0)-AD57-(AI57-X57)</f>
        <v/>
      </c>
      <c r="AK57" s="39">
        <f>Z57*(1+('1_Assumptions'!$E$14+$B57))</f>
        <v/>
      </c>
      <c r="AL57" s="39">
        <f>AK57*(1-'1_Assumptions'!$E$20)</f>
        <v/>
      </c>
      <c r="AM57" s="39">
        <f>AK57-AL57-AK57*$B$11+AK57*$B$12</f>
        <v/>
      </c>
      <c r="AN57" s="39">
        <f>AE57*$B$13</f>
        <v/>
      </c>
      <c r="AO57" s="39">
        <f>AK57*'1_Assumptions'!$E$26</f>
        <v/>
      </c>
      <c r="AP57" s="39">
        <f>AE57+AO57-AN57</f>
        <v/>
      </c>
      <c r="AQ57" s="39">
        <f>AK57*$B$14</f>
        <v/>
      </c>
      <c r="AR57" s="39">
        <f>AG57-AQ57</f>
        <v/>
      </c>
      <c r="AS57" s="39">
        <f>AH57+AK57*$B$16-AH57/$B$18</f>
        <v/>
      </c>
      <c r="AT57" s="39">
        <f>AK57*'1_Assumptions'!$B$56/365+AL57*'1_Assumptions'!$B$57/365+AK57*'1_Assumptions'!$B$54-AL57*'1_Assumptions'!$B$58/365-AK57*'1_Assumptions'!$B$55</f>
        <v/>
      </c>
      <c r="AU57" s="39">
        <f>AM57*(1-$B$15)+AN57+AQ57+IF($B$19=1,AK57*'1_Assumptions'!$E$32,0)-AO57-(AT57-AI57)</f>
        <v/>
      </c>
      <c r="AV57" s="39">
        <f>AK57*(1+('1_Assumptions'!$E$15+$B57))</f>
        <v/>
      </c>
      <c r="AW57" s="39">
        <f>AV57*(1-'1_Assumptions'!$E$21)</f>
        <v/>
      </c>
      <c r="AX57" s="39">
        <f>AV57-AW57-AV57*$B$11+AV57*$B$12</f>
        <v/>
      </c>
      <c r="AY57" s="39">
        <f>AP57*$B$13</f>
        <v/>
      </c>
      <c r="AZ57" s="39">
        <f>AV57*'1_Assumptions'!$E$27</f>
        <v/>
      </c>
      <c r="BA57" s="39">
        <f>AP57+AZ57-AY57</f>
        <v/>
      </c>
      <c r="BB57" s="39">
        <f>AV57*$B$14</f>
        <v/>
      </c>
      <c r="BC57" s="39">
        <f>AR57-BB57</f>
        <v/>
      </c>
      <c r="BD57" s="39">
        <f>AS57+AV57*$B$16-AS57/$B$18</f>
        <v/>
      </c>
      <c r="BE57" s="39">
        <f>AV57*'1_Assumptions'!$B$56/365+AW57*'1_Assumptions'!$B$57/365+AV57*'1_Assumptions'!$B$54-AW57*'1_Assumptions'!$B$58/365-AV57*'1_Assumptions'!$B$55</f>
        <v/>
      </c>
      <c r="BF57" s="39">
        <f>AX57*(1-$B$15)+AY57+BB57+IF($B$19=1,AV57*'1_Assumptions'!$E$33,0)-AZ57-(BE57-AT57)</f>
        <v/>
      </c>
      <c r="BG57" s="39">
        <f>N57/(1+$B$21)^(1-0.5*$B$23)+Y57/(1+$B$21)^(2-0.5*$B$23)+AJ57/(1+$B$21)^(3-0.5*$B$23)+AU57/(1+$B$21)^(4-0.5*$B$23)+BF57/(1+$B$21)^(5-0.5*$B$23)</f>
        <v/>
      </c>
      <c r="BH57" s="39">
        <f>BE57+BA57+BC57+$B$9+IF($B$17=1,BD57,0)</f>
        <v/>
      </c>
      <c r="BI57" s="19">
        <f>IF($B$32=2,$B$21+$B$33,IF(BH57=0,0,BL57/BH57))</f>
        <v/>
      </c>
      <c r="BJ57" s="19">
        <f>IF(BI57=0,9,$C57/BI57)</f>
        <v/>
      </c>
      <c r="BK57" s="55">
        <f>IF(OR(BH57&lt;=0,BI57&lt;=$B$21,BJ57&gt;=1,BJ57&lt;0),1,0)</f>
        <v/>
      </c>
      <c r="BL57" s="39">
        <f>AX57*(1-$B$20)</f>
        <v/>
      </c>
      <c r="BM57" s="39">
        <f>IF(BK57=1,BL57,AX57*(1+$C57)*(1-$B$20)*(1-BJ57))</f>
        <v/>
      </c>
      <c r="BN57" s="39">
        <f>IF(BK57=1,BL57/$B$21,BM57/($B$21-$C57))</f>
        <v/>
      </c>
      <c r="BO57" s="39">
        <f>BN57/(1+$B$21)^(5-0.5*$B$23)</f>
        <v/>
      </c>
      <c r="BP57" s="39">
        <f>BG57+BO57</f>
        <v/>
      </c>
      <c r="BQ57" s="39">
        <f>BP57*(1+$B$21)^$B$24-N57*$B$24*(1+$B$21)^($B$24/2)</f>
        <v/>
      </c>
      <c r="BR57" s="39">
        <f>BQ57-$B$25+$B$26+$B$27</f>
        <v/>
      </c>
      <c r="BS57" s="39">
        <f>IF($B$28=1,$B$30,BR57*$B$29)</f>
        <v/>
      </c>
      <c r="BT57" s="39">
        <f>BR57-BS57</f>
        <v/>
      </c>
      <c r="BU57" s="58">
        <f>BT57/$B$31</f>
        <v/>
      </c>
    </row>
    <row r="58">
      <c r="A58" s="17" t="inlineStr">
        <is>
          <t>5-1</t>
        </is>
      </c>
      <c r="B58" s="26" t="n">
        <v>0.06</v>
      </c>
      <c r="C58" s="26" t="n">
        <v>0.01</v>
      </c>
      <c r="D58" s="39">
        <f>$B$5*(1+('1_Assumptions'!$E$11+IF('1_Assumptions'!$B$39=1,0,$B58)))</f>
        <v/>
      </c>
      <c r="E58" s="39">
        <f>D58*(1-'1_Assumptions'!$E$17)</f>
        <v/>
      </c>
      <c r="F58" s="39">
        <f>D58-E58-D58*$B$11+D58*$B$12</f>
        <v/>
      </c>
      <c r="G58" s="39">
        <f>$B$6*$B$13</f>
        <v/>
      </c>
      <c r="H58" s="39">
        <f>D58*'1_Assumptions'!$E$23</f>
        <v/>
      </c>
      <c r="I58" s="39">
        <f>$B$6+H58-G58</f>
        <v/>
      </c>
      <c r="J58" s="39">
        <f>D58*$B$14</f>
        <v/>
      </c>
      <c r="K58" s="39">
        <f>$B$7-J58</f>
        <v/>
      </c>
      <c r="L58" s="39">
        <f>$B$8+D58*$B$16-$B$8/$B$18</f>
        <v/>
      </c>
      <c r="M58" s="39">
        <f>D58*'1_Assumptions'!$B$56/365+E58*'1_Assumptions'!$B$57/365+D58*'1_Assumptions'!$B$54-E58*'1_Assumptions'!$B$58/365-D58*'1_Assumptions'!$B$55</f>
        <v/>
      </c>
      <c r="N58" s="39">
        <f>F58*(1-$B$15)+G58+J58+IF($B$19=1,D58*'1_Assumptions'!$E$29,0)-H58-(M58-$B$10)</f>
        <v/>
      </c>
      <c r="O58" s="39">
        <f>D58*(1+('1_Assumptions'!$E$12+$B58))</f>
        <v/>
      </c>
      <c r="P58" s="39">
        <f>O58*(1-'1_Assumptions'!$E$18)</f>
        <v/>
      </c>
      <c r="Q58" s="39">
        <f>O58-P58-O58*$B$11+O58*$B$12</f>
        <v/>
      </c>
      <c r="R58" s="39">
        <f>I58*$B$13</f>
        <v/>
      </c>
      <c r="S58" s="39">
        <f>O58*'1_Assumptions'!$E$24</f>
        <v/>
      </c>
      <c r="T58" s="39">
        <f>I58+S58-R58</f>
        <v/>
      </c>
      <c r="U58" s="39">
        <f>O58*$B$14</f>
        <v/>
      </c>
      <c r="V58" s="39">
        <f>K58-U58</f>
        <v/>
      </c>
      <c r="W58" s="39">
        <f>L58+O58*$B$16-L58/$B$18</f>
        <v/>
      </c>
      <c r="X58" s="39">
        <f>O58*'1_Assumptions'!$B$56/365+P58*'1_Assumptions'!$B$57/365+O58*'1_Assumptions'!$B$54-P58*'1_Assumptions'!$B$58/365-O58*'1_Assumptions'!$B$55</f>
        <v/>
      </c>
      <c r="Y58" s="39">
        <f>Q58*(1-$B$15)+R58+U58+IF($B$19=1,O58*'1_Assumptions'!$E$30,0)-S58-(X58-M58)</f>
        <v/>
      </c>
      <c r="Z58" s="39">
        <f>O58*(1+('1_Assumptions'!$E$13+$B58))</f>
        <v/>
      </c>
      <c r="AA58" s="39">
        <f>Z58*(1-'1_Assumptions'!$E$19)</f>
        <v/>
      </c>
      <c r="AB58" s="39">
        <f>Z58-AA58-Z58*$B$11+Z58*$B$12</f>
        <v/>
      </c>
      <c r="AC58" s="39">
        <f>T58*$B$13</f>
        <v/>
      </c>
      <c r="AD58" s="39">
        <f>Z58*'1_Assumptions'!$E$25</f>
        <v/>
      </c>
      <c r="AE58" s="39">
        <f>T58+AD58-AC58</f>
        <v/>
      </c>
      <c r="AF58" s="39">
        <f>Z58*$B$14</f>
        <v/>
      </c>
      <c r="AG58" s="39">
        <f>V58-AF58</f>
        <v/>
      </c>
      <c r="AH58" s="39">
        <f>W58+Z58*$B$16-W58/$B$18</f>
        <v/>
      </c>
      <c r="AI58" s="39">
        <f>Z58*'1_Assumptions'!$B$56/365+AA58*'1_Assumptions'!$B$57/365+Z58*'1_Assumptions'!$B$54-AA58*'1_Assumptions'!$B$58/365-Z58*'1_Assumptions'!$B$55</f>
        <v/>
      </c>
      <c r="AJ58" s="39">
        <f>AB58*(1-$B$15)+AC58+AF58+IF($B$19=1,Z58*'1_Assumptions'!$E$31,0)-AD58-(AI58-X58)</f>
        <v/>
      </c>
      <c r="AK58" s="39">
        <f>Z58*(1+('1_Assumptions'!$E$14+$B58))</f>
        <v/>
      </c>
      <c r="AL58" s="39">
        <f>AK58*(1-'1_Assumptions'!$E$20)</f>
        <v/>
      </c>
      <c r="AM58" s="39">
        <f>AK58-AL58-AK58*$B$11+AK58*$B$12</f>
        <v/>
      </c>
      <c r="AN58" s="39">
        <f>AE58*$B$13</f>
        <v/>
      </c>
      <c r="AO58" s="39">
        <f>AK58*'1_Assumptions'!$E$26</f>
        <v/>
      </c>
      <c r="AP58" s="39">
        <f>AE58+AO58-AN58</f>
        <v/>
      </c>
      <c r="AQ58" s="39">
        <f>AK58*$B$14</f>
        <v/>
      </c>
      <c r="AR58" s="39">
        <f>AG58-AQ58</f>
        <v/>
      </c>
      <c r="AS58" s="39">
        <f>AH58+AK58*$B$16-AH58/$B$18</f>
        <v/>
      </c>
      <c r="AT58" s="39">
        <f>AK58*'1_Assumptions'!$B$56/365+AL58*'1_Assumptions'!$B$57/365+AK58*'1_Assumptions'!$B$54-AL58*'1_Assumptions'!$B$58/365-AK58*'1_Assumptions'!$B$55</f>
        <v/>
      </c>
      <c r="AU58" s="39">
        <f>AM58*(1-$B$15)+AN58+AQ58+IF($B$19=1,AK58*'1_Assumptions'!$E$32,0)-AO58-(AT58-AI58)</f>
        <v/>
      </c>
      <c r="AV58" s="39">
        <f>AK58*(1+('1_Assumptions'!$E$15+$B58))</f>
        <v/>
      </c>
      <c r="AW58" s="39">
        <f>AV58*(1-'1_Assumptions'!$E$21)</f>
        <v/>
      </c>
      <c r="AX58" s="39">
        <f>AV58-AW58-AV58*$B$11+AV58*$B$12</f>
        <v/>
      </c>
      <c r="AY58" s="39">
        <f>AP58*$B$13</f>
        <v/>
      </c>
      <c r="AZ58" s="39">
        <f>AV58*'1_Assumptions'!$E$27</f>
        <v/>
      </c>
      <c r="BA58" s="39">
        <f>AP58+AZ58-AY58</f>
        <v/>
      </c>
      <c r="BB58" s="39">
        <f>AV58*$B$14</f>
        <v/>
      </c>
      <c r="BC58" s="39">
        <f>AR58-BB58</f>
        <v/>
      </c>
      <c r="BD58" s="39">
        <f>AS58+AV58*$B$16-AS58/$B$18</f>
        <v/>
      </c>
      <c r="BE58" s="39">
        <f>AV58*'1_Assumptions'!$B$56/365+AW58*'1_Assumptions'!$B$57/365+AV58*'1_Assumptions'!$B$54-AW58*'1_Assumptions'!$B$58/365-AV58*'1_Assumptions'!$B$55</f>
        <v/>
      </c>
      <c r="BF58" s="39">
        <f>AX58*(1-$B$15)+AY58+BB58+IF($B$19=1,AV58*'1_Assumptions'!$E$33,0)-AZ58-(BE58-AT58)</f>
        <v/>
      </c>
      <c r="BG58" s="39">
        <f>N58/(1+$B$21)^(1-0.5*$B$23)+Y58/(1+$B$21)^(2-0.5*$B$23)+AJ58/(1+$B$21)^(3-0.5*$B$23)+AU58/(1+$B$21)^(4-0.5*$B$23)+BF58/(1+$B$21)^(5-0.5*$B$23)</f>
        <v/>
      </c>
      <c r="BH58" s="39">
        <f>BE58+BA58+BC58+$B$9+IF($B$17=1,BD58,0)</f>
        <v/>
      </c>
      <c r="BI58" s="19">
        <f>IF($B$32=2,$B$21+$B$33,IF(BH58=0,0,BL58/BH58))</f>
        <v/>
      </c>
      <c r="BJ58" s="19">
        <f>IF(BI58=0,9,$C58/BI58)</f>
        <v/>
      </c>
      <c r="BK58" s="55">
        <f>IF(OR(BH58&lt;=0,BI58&lt;=$B$21,BJ58&gt;=1,BJ58&lt;0),1,0)</f>
        <v/>
      </c>
      <c r="BL58" s="39">
        <f>AX58*(1-$B$20)</f>
        <v/>
      </c>
      <c r="BM58" s="39">
        <f>IF(BK58=1,BL58,AX58*(1+$C58)*(1-$B$20)*(1-BJ58))</f>
        <v/>
      </c>
      <c r="BN58" s="39">
        <f>IF(BK58=1,BL58/$B$21,BM58/($B$21-$C58))</f>
        <v/>
      </c>
      <c r="BO58" s="39">
        <f>BN58/(1+$B$21)^(5-0.5*$B$23)</f>
        <v/>
      </c>
      <c r="BP58" s="39">
        <f>BG58+BO58</f>
        <v/>
      </c>
      <c r="BQ58" s="39">
        <f>BP58*(1+$B$21)^$B$24-N58*$B$24*(1+$B$21)^($B$24/2)</f>
        <v/>
      </c>
      <c r="BR58" s="39">
        <f>BQ58-$B$25+$B$26+$B$27</f>
        <v/>
      </c>
      <c r="BS58" s="39">
        <f>IF($B$28=1,$B$30,BR58*$B$29)</f>
        <v/>
      </c>
      <c r="BT58" s="39">
        <f>BR58-BS58</f>
        <v/>
      </c>
      <c r="BU58" s="58">
        <f>BT58/$B$31</f>
        <v/>
      </c>
    </row>
    <row r="59">
      <c r="A59" s="17" t="inlineStr">
        <is>
          <t>5-2</t>
        </is>
      </c>
      <c r="B59" s="26" t="n">
        <v>0.06</v>
      </c>
      <c r="C59" s="26" t="n">
        <v>0.0175</v>
      </c>
      <c r="D59" s="39">
        <f>$B$5*(1+('1_Assumptions'!$E$11+IF('1_Assumptions'!$B$39=1,0,$B59)))</f>
        <v/>
      </c>
      <c r="E59" s="39">
        <f>D59*(1-'1_Assumptions'!$E$17)</f>
        <v/>
      </c>
      <c r="F59" s="39">
        <f>D59-E59-D59*$B$11+D59*$B$12</f>
        <v/>
      </c>
      <c r="G59" s="39">
        <f>$B$6*$B$13</f>
        <v/>
      </c>
      <c r="H59" s="39">
        <f>D59*'1_Assumptions'!$E$23</f>
        <v/>
      </c>
      <c r="I59" s="39">
        <f>$B$6+H59-G59</f>
        <v/>
      </c>
      <c r="J59" s="39">
        <f>D59*$B$14</f>
        <v/>
      </c>
      <c r="K59" s="39">
        <f>$B$7-J59</f>
        <v/>
      </c>
      <c r="L59" s="39">
        <f>$B$8+D59*$B$16-$B$8/$B$18</f>
        <v/>
      </c>
      <c r="M59" s="39">
        <f>D59*'1_Assumptions'!$B$56/365+E59*'1_Assumptions'!$B$57/365+D59*'1_Assumptions'!$B$54-E59*'1_Assumptions'!$B$58/365-D59*'1_Assumptions'!$B$55</f>
        <v/>
      </c>
      <c r="N59" s="39">
        <f>F59*(1-$B$15)+G59+J59+IF($B$19=1,D59*'1_Assumptions'!$E$29,0)-H59-(M59-$B$10)</f>
        <v/>
      </c>
      <c r="O59" s="39">
        <f>D59*(1+('1_Assumptions'!$E$12+$B59))</f>
        <v/>
      </c>
      <c r="P59" s="39">
        <f>O59*(1-'1_Assumptions'!$E$18)</f>
        <v/>
      </c>
      <c r="Q59" s="39">
        <f>O59-P59-O59*$B$11+O59*$B$12</f>
        <v/>
      </c>
      <c r="R59" s="39">
        <f>I59*$B$13</f>
        <v/>
      </c>
      <c r="S59" s="39">
        <f>O59*'1_Assumptions'!$E$24</f>
        <v/>
      </c>
      <c r="T59" s="39">
        <f>I59+S59-R59</f>
        <v/>
      </c>
      <c r="U59" s="39">
        <f>O59*$B$14</f>
        <v/>
      </c>
      <c r="V59" s="39">
        <f>K59-U59</f>
        <v/>
      </c>
      <c r="W59" s="39">
        <f>L59+O59*$B$16-L59/$B$18</f>
        <v/>
      </c>
      <c r="X59" s="39">
        <f>O59*'1_Assumptions'!$B$56/365+P59*'1_Assumptions'!$B$57/365+O59*'1_Assumptions'!$B$54-P59*'1_Assumptions'!$B$58/365-O59*'1_Assumptions'!$B$55</f>
        <v/>
      </c>
      <c r="Y59" s="39">
        <f>Q59*(1-$B$15)+R59+U59+IF($B$19=1,O59*'1_Assumptions'!$E$30,0)-S59-(X59-M59)</f>
        <v/>
      </c>
      <c r="Z59" s="39">
        <f>O59*(1+('1_Assumptions'!$E$13+$B59))</f>
        <v/>
      </c>
      <c r="AA59" s="39">
        <f>Z59*(1-'1_Assumptions'!$E$19)</f>
        <v/>
      </c>
      <c r="AB59" s="39">
        <f>Z59-AA59-Z59*$B$11+Z59*$B$12</f>
        <v/>
      </c>
      <c r="AC59" s="39">
        <f>T59*$B$13</f>
        <v/>
      </c>
      <c r="AD59" s="39">
        <f>Z59*'1_Assumptions'!$E$25</f>
        <v/>
      </c>
      <c r="AE59" s="39">
        <f>T59+AD59-AC59</f>
        <v/>
      </c>
      <c r="AF59" s="39">
        <f>Z59*$B$14</f>
        <v/>
      </c>
      <c r="AG59" s="39">
        <f>V59-AF59</f>
        <v/>
      </c>
      <c r="AH59" s="39">
        <f>W59+Z59*$B$16-W59/$B$18</f>
        <v/>
      </c>
      <c r="AI59" s="39">
        <f>Z59*'1_Assumptions'!$B$56/365+AA59*'1_Assumptions'!$B$57/365+Z59*'1_Assumptions'!$B$54-AA59*'1_Assumptions'!$B$58/365-Z59*'1_Assumptions'!$B$55</f>
        <v/>
      </c>
      <c r="AJ59" s="39">
        <f>AB59*(1-$B$15)+AC59+AF59+IF($B$19=1,Z59*'1_Assumptions'!$E$31,0)-AD59-(AI59-X59)</f>
        <v/>
      </c>
      <c r="AK59" s="39">
        <f>Z59*(1+('1_Assumptions'!$E$14+$B59))</f>
        <v/>
      </c>
      <c r="AL59" s="39">
        <f>AK59*(1-'1_Assumptions'!$E$20)</f>
        <v/>
      </c>
      <c r="AM59" s="39">
        <f>AK59-AL59-AK59*$B$11+AK59*$B$12</f>
        <v/>
      </c>
      <c r="AN59" s="39">
        <f>AE59*$B$13</f>
        <v/>
      </c>
      <c r="AO59" s="39">
        <f>AK59*'1_Assumptions'!$E$26</f>
        <v/>
      </c>
      <c r="AP59" s="39">
        <f>AE59+AO59-AN59</f>
        <v/>
      </c>
      <c r="AQ59" s="39">
        <f>AK59*$B$14</f>
        <v/>
      </c>
      <c r="AR59" s="39">
        <f>AG59-AQ59</f>
        <v/>
      </c>
      <c r="AS59" s="39">
        <f>AH59+AK59*$B$16-AH59/$B$18</f>
        <v/>
      </c>
      <c r="AT59" s="39">
        <f>AK59*'1_Assumptions'!$B$56/365+AL59*'1_Assumptions'!$B$57/365+AK59*'1_Assumptions'!$B$54-AL59*'1_Assumptions'!$B$58/365-AK59*'1_Assumptions'!$B$55</f>
        <v/>
      </c>
      <c r="AU59" s="39">
        <f>AM59*(1-$B$15)+AN59+AQ59+IF($B$19=1,AK59*'1_Assumptions'!$E$32,0)-AO59-(AT59-AI59)</f>
        <v/>
      </c>
      <c r="AV59" s="39">
        <f>AK59*(1+('1_Assumptions'!$E$15+$B59))</f>
        <v/>
      </c>
      <c r="AW59" s="39">
        <f>AV59*(1-'1_Assumptions'!$E$21)</f>
        <v/>
      </c>
      <c r="AX59" s="39">
        <f>AV59-AW59-AV59*$B$11+AV59*$B$12</f>
        <v/>
      </c>
      <c r="AY59" s="39">
        <f>AP59*$B$13</f>
        <v/>
      </c>
      <c r="AZ59" s="39">
        <f>AV59*'1_Assumptions'!$E$27</f>
        <v/>
      </c>
      <c r="BA59" s="39">
        <f>AP59+AZ59-AY59</f>
        <v/>
      </c>
      <c r="BB59" s="39">
        <f>AV59*$B$14</f>
        <v/>
      </c>
      <c r="BC59" s="39">
        <f>AR59-BB59</f>
        <v/>
      </c>
      <c r="BD59" s="39">
        <f>AS59+AV59*$B$16-AS59/$B$18</f>
        <v/>
      </c>
      <c r="BE59" s="39">
        <f>AV59*'1_Assumptions'!$B$56/365+AW59*'1_Assumptions'!$B$57/365+AV59*'1_Assumptions'!$B$54-AW59*'1_Assumptions'!$B$58/365-AV59*'1_Assumptions'!$B$55</f>
        <v/>
      </c>
      <c r="BF59" s="39">
        <f>AX59*(1-$B$15)+AY59+BB59+IF($B$19=1,AV59*'1_Assumptions'!$E$33,0)-AZ59-(BE59-AT59)</f>
        <v/>
      </c>
      <c r="BG59" s="39">
        <f>N59/(1+$B$21)^(1-0.5*$B$23)+Y59/(1+$B$21)^(2-0.5*$B$23)+AJ59/(1+$B$21)^(3-0.5*$B$23)+AU59/(1+$B$21)^(4-0.5*$B$23)+BF59/(1+$B$21)^(5-0.5*$B$23)</f>
        <v/>
      </c>
      <c r="BH59" s="39">
        <f>BE59+BA59+BC59+$B$9+IF($B$17=1,BD59,0)</f>
        <v/>
      </c>
      <c r="BI59" s="19">
        <f>IF($B$32=2,$B$21+$B$33,IF(BH59=0,0,BL59/BH59))</f>
        <v/>
      </c>
      <c r="BJ59" s="19">
        <f>IF(BI59=0,9,$C59/BI59)</f>
        <v/>
      </c>
      <c r="BK59" s="55">
        <f>IF(OR(BH59&lt;=0,BI59&lt;=$B$21,BJ59&gt;=1,BJ59&lt;0),1,0)</f>
        <v/>
      </c>
      <c r="BL59" s="39">
        <f>AX59*(1-$B$20)</f>
        <v/>
      </c>
      <c r="BM59" s="39">
        <f>IF(BK59=1,BL59,AX59*(1+$C59)*(1-$B$20)*(1-BJ59))</f>
        <v/>
      </c>
      <c r="BN59" s="39">
        <f>IF(BK59=1,BL59/$B$21,BM59/($B$21-$C59))</f>
        <v/>
      </c>
      <c r="BO59" s="39">
        <f>BN59/(1+$B$21)^(5-0.5*$B$23)</f>
        <v/>
      </c>
      <c r="BP59" s="39">
        <f>BG59+BO59</f>
        <v/>
      </c>
      <c r="BQ59" s="39">
        <f>BP59*(1+$B$21)^$B$24-N59*$B$24*(1+$B$21)^($B$24/2)</f>
        <v/>
      </c>
      <c r="BR59" s="39">
        <f>BQ59-$B$25+$B$26+$B$27</f>
        <v/>
      </c>
      <c r="BS59" s="39">
        <f>IF($B$28=1,$B$30,BR59*$B$29)</f>
        <v/>
      </c>
      <c r="BT59" s="39">
        <f>BR59-BS59</f>
        <v/>
      </c>
      <c r="BU59" s="58">
        <f>BT59/$B$31</f>
        <v/>
      </c>
    </row>
    <row r="60">
      <c r="A60" s="17" t="inlineStr">
        <is>
          <t>5-3</t>
        </is>
      </c>
      <c r="B60" s="26" t="n">
        <v>0.06</v>
      </c>
      <c r="C60" s="26" t="n">
        <v>0.025</v>
      </c>
      <c r="D60" s="39">
        <f>$B$5*(1+('1_Assumptions'!$E$11+IF('1_Assumptions'!$B$39=1,0,$B60)))</f>
        <v/>
      </c>
      <c r="E60" s="39">
        <f>D60*(1-'1_Assumptions'!$E$17)</f>
        <v/>
      </c>
      <c r="F60" s="39">
        <f>D60-E60-D60*$B$11+D60*$B$12</f>
        <v/>
      </c>
      <c r="G60" s="39">
        <f>$B$6*$B$13</f>
        <v/>
      </c>
      <c r="H60" s="39">
        <f>D60*'1_Assumptions'!$E$23</f>
        <v/>
      </c>
      <c r="I60" s="39">
        <f>$B$6+H60-G60</f>
        <v/>
      </c>
      <c r="J60" s="39">
        <f>D60*$B$14</f>
        <v/>
      </c>
      <c r="K60" s="39">
        <f>$B$7-J60</f>
        <v/>
      </c>
      <c r="L60" s="39">
        <f>$B$8+D60*$B$16-$B$8/$B$18</f>
        <v/>
      </c>
      <c r="M60" s="39">
        <f>D60*'1_Assumptions'!$B$56/365+E60*'1_Assumptions'!$B$57/365+D60*'1_Assumptions'!$B$54-E60*'1_Assumptions'!$B$58/365-D60*'1_Assumptions'!$B$55</f>
        <v/>
      </c>
      <c r="N60" s="39">
        <f>F60*(1-$B$15)+G60+J60+IF($B$19=1,D60*'1_Assumptions'!$E$29,0)-H60-(M60-$B$10)</f>
        <v/>
      </c>
      <c r="O60" s="39">
        <f>D60*(1+('1_Assumptions'!$E$12+$B60))</f>
        <v/>
      </c>
      <c r="P60" s="39">
        <f>O60*(1-'1_Assumptions'!$E$18)</f>
        <v/>
      </c>
      <c r="Q60" s="39">
        <f>O60-P60-O60*$B$11+O60*$B$12</f>
        <v/>
      </c>
      <c r="R60" s="39">
        <f>I60*$B$13</f>
        <v/>
      </c>
      <c r="S60" s="39">
        <f>O60*'1_Assumptions'!$E$24</f>
        <v/>
      </c>
      <c r="T60" s="39">
        <f>I60+S60-R60</f>
        <v/>
      </c>
      <c r="U60" s="39">
        <f>O60*$B$14</f>
        <v/>
      </c>
      <c r="V60" s="39">
        <f>K60-U60</f>
        <v/>
      </c>
      <c r="W60" s="39">
        <f>L60+O60*$B$16-L60/$B$18</f>
        <v/>
      </c>
      <c r="X60" s="39">
        <f>O60*'1_Assumptions'!$B$56/365+P60*'1_Assumptions'!$B$57/365+O60*'1_Assumptions'!$B$54-P60*'1_Assumptions'!$B$58/365-O60*'1_Assumptions'!$B$55</f>
        <v/>
      </c>
      <c r="Y60" s="39">
        <f>Q60*(1-$B$15)+R60+U60+IF($B$19=1,O60*'1_Assumptions'!$E$30,0)-S60-(X60-M60)</f>
        <v/>
      </c>
      <c r="Z60" s="39">
        <f>O60*(1+('1_Assumptions'!$E$13+$B60))</f>
        <v/>
      </c>
      <c r="AA60" s="39">
        <f>Z60*(1-'1_Assumptions'!$E$19)</f>
        <v/>
      </c>
      <c r="AB60" s="39">
        <f>Z60-AA60-Z60*$B$11+Z60*$B$12</f>
        <v/>
      </c>
      <c r="AC60" s="39">
        <f>T60*$B$13</f>
        <v/>
      </c>
      <c r="AD60" s="39">
        <f>Z60*'1_Assumptions'!$E$25</f>
        <v/>
      </c>
      <c r="AE60" s="39">
        <f>T60+AD60-AC60</f>
        <v/>
      </c>
      <c r="AF60" s="39">
        <f>Z60*$B$14</f>
        <v/>
      </c>
      <c r="AG60" s="39">
        <f>V60-AF60</f>
        <v/>
      </c>
      <c r="AH60" s="39">
        <f>W60+Z60*$B$16-W60/$B$18</f>
        <v/>
      </c>
      <c r="AI60" s="39">
        <f>Z60*'1_Assumptions'!$B$56/365+AA60*'1_Assumptions'!$B$57/365+Z60*'1_Assumptions'!$B$54-AA60*'1_Assumptions'!$B$58/365-Z60*'1_Assumptions'!$B$55</f>
        <v/>
      </c>
      <c r="AJ60" s="39">
        <f>AB60*(1-$B$15)+AC60+AF60+IF($B$19=1,Z60*'1_Assumptions'!$E$31,0)-AD60-(AI60-X60)</f>
        <v/>
      </c>
      <c r="AK60" s="39">
        <f>Z60*(1+('1_Assumptions'!$E$14+$B60))</f>
        <v/>
      </c>
      <c r="AL60" s="39">
        <f>AK60*(1-'1_Assumptions'!$E$20)</f>
        <v/>
      </c>
      <c r="AM60" s="39">
        <f>AK60-AL60-AK60*$B$11+AK60*$B$12</f>
        <v/>
      </c>
      <c r="AN60" s="39">
        <f>AE60*$B$13</f>
        <v/>
      </c>
      <c r="AO60" s="39">
        <f>AK60*'1_Assumptions'!$E$26</f>
        <v/>
      </c>
      <c r="AP60" s="39">
        <f>AE60+AO60-AN60</f>
        <v/>
      </c>
      <c r="AQ60" s="39">
        <f>AK60*$B$14</f>
        <v/>
      </c>
      <c r="AR60" s="39">
        <f>AG60-AQ60</f>
        <v/>
      </c>
      <c r="AS60" s="39">
        <f>AH60+AK60*$B$16-AH60/$B$18</f>
        <v/>
      </c>
      <c r="AT60" s="39">
        <f>AK60*'1_Assumptions'!$B$56/365+AL60*'1_Assumptions'!$B$57/365+AK60*'1_Assumptions'!$B$54-AL60*'1_Assumptions'!$B$58/365-AK60*'1_Assumptions'!$B$55</f>
        <v/>
      </c>
      <c r="AU60" s="39">
        <f>AM60*(1-$B$15)+AN60+AQ60+IF($B$19=1,AK60*'1_Assumptions'!$E$32,0)-AO60-(AT60-AI60)</f>
        <v/>
      </c>
      <c r="AV60" s="39">
        <f>AK60*(1+('1_Assumptions'!$E$15+$B60))</f>
        <v/>
      </c>
      <c r="AW60" s="39">
        <f>AV60*(1-'1_Assumptions'!$E$21)</f>
        <v/>
      </c>
      <c r="AX60" s="39">
        <f>AV60-AW60-AV60*$B$11+AV60*$B$12</f>
        <v/>
      </c>
      <c r="AY60" s="39">
        <f>AP60*$B$13</f>
        <v/>
      </c>
      <c r="AZ60" s="39">
        <f>AV60*'1_Assumptions'!$E$27</f>
        <v/>
      </c>
      <c r="BA60" s="39">
        <f>AP60+AZ60-AY60</f>
        <v/>
      </c>
      <c r="BB60" s="39">
        <f>AV60*$B$14</f>
        <v/>
      </c>
      <c r="BC60" s="39">
        <f>AR60-BB60</f>
        <v/>
      </c>
      <c r="BD60" s="39">
        <f>AS60+AV60*$B$16-AS60/$B$18</f>
        <v/>
      </c>
      <c r="BE60" s="39">
        <f>AV60*'1_Assumptions'!$B$56/365+AW60*'1_Assumptions'!$B$57/365+AV60*'1_Assumptions'!$B$54-AW60*'1_Assumptions'!$B$58/365-AV60*'1_Assumptions'!$B$55</f>
        <v/>
      </c>
      <c r="BF60" s="39">
        <f>AX60*(1-$B$15)+AY60+BB60+IF($B$19=1,AV60*'1_Assumptions'!$E$33,0)-AZ60-(BE60-AT60)</f>
        <v/>
      </c>
      <c r="BG60" s="39">
        <f>N60/(1+$B$21)^(1-0.5*$B$23)+Y60/(1+$B$21)^(2-0.5*$B$23)+AJ60/(1+$B$21)^(3-0.5*$B$23)+AU60/(1+$B$21)^(4-0.5*$B$23)+BF60/(1+$B$21)^(5-0.5*$B$23)</f>
        <v/>
      </c>
      <c r="BH60" s="39">
        <f>BE60+BA60+BC60+$B$9+IF($B$17=1,BD60,0)</f>
        <v/>
      </c>
      <c r="BI60" s="19">
        <f>IF($B$32=2,$B$21+$B$33,IF(BH60=0,0,BL60/BH60))</f>
        <v/>
      </c>
      <c r="BJ60" s="19">
        <f>IF(BI60=0,9,$C60/BI60)</f>
        <v/>
      </c>
      <c r="BK60" s="55">
        <f>IF(OR(BH60&lt;=0,BI60&lt;=$B$21,BJ60&gt;=1,BJ60&lt;0),1,0)</f>
        <v/>
      </c>
      <c r="BL60" s="39">
        <f>AX60*(1-$B$20)</f>
        <v/>
      </c>
      <c r="BM60" s="39">
        <f>IF(BK60=1,BL60,AX60*(1+$C60)*(1-$B$20)*(1-BJ60))</f>
        <v/>
      </c>
      <c r="BN60" s="39">
        <f>IF(BK60=1,BL60/$B$21,BM60/($B$21-$C60))</f>
        <v/>
      </c>
      <c r="BO60" s="39">
        <f>BN60/(1+$B$21)^(5-0.5*$B$23)</f>
        <v/>
      </c>
      <c r="BP60" s="39">
        <f>BG60+BO60</f>
        <v/>
      </c>
      <c r="BQ60" s="39">
        <f>BP60*(1+$B$21)^$B$24-N60*$B$24*(1+$B$21)^($B$24/2)</f>
        <v/>
      </c>
      <c r="BR60" s="39">
        <f>BQ60-$B$25+$B$26+$B$27</f>
        <v/>
      </c>
      <c r="BS60" s="39">
        <f>IF($B$28=1,$B$30,BR60*$B$29)</f>
        <v/>
      </c>
      <c r="BT60" s="39">
        <f>BR60-BS60</f>
        <v/>
      </c>
      <c r="BU60" s="58">
        <f>BT60/$B$31</f>
        <v/>
      </c>
    </row>
    <row r="61">
      <c r="A61" s="17" t="inlineStr">
        <is>
          <t>5-4</t>
        </is>
      </c>
      <c r="B61" s="26" t="n">
        <v>0.06</v>
      </c>
      <c r="C61" s="26" t="n">
        <v>0.0325</v>
      </c>
      <c r="D61" s="39">
        <f>$B$5*(1+('1_Assumptions'!$E$11+IF('1_Assumptions'!$B$39=1,0,$B61)))</f>
        <v/>
      </c>
      <c r="E61" s="39">
        <f>D61*(1-'1_Assumptions'!$E$17)</f>
        <v/>
      </c>
      <c r="F61" s="39">
        <f>D61-E61-D61*$B$11+D61*$B$12</f>
        <v/>
      </c>
      <c r="G61" s="39">
        <f>$B$6*$B$13</f>
        <v/>
      </c>
      <c r="H61" s="39">
        <f>D61*'1_Assumptions'!$E$23</f>
        <v/>
      </c>
      <c r="I61" s="39">
        <f>$B$6+H61-G61</f>
        <v/>
      </c>
      <c r="J61" s="39">
        <f>D61*$B$14</f>
        <v/>
      </c>
      <c r="K61" s="39">
        <f>$B$7-J61</f>
        <v/>
      </c>
      <c r="L61" s="39">
        <f>$B$8+D61*$B$16-$B$8/$B$18</f>
        <v/>
      </c>
      <c r="M61" s="39">
        <f>D61*'1_Assumptions'!$B$56/365+E61*'1_Assumptions'!$B$57/365+D61*'1_Assumptions'!$B$54-E61*'1_Assumptions'!$B$58/365-D61*'1_Assumptions'!$B$55</f>
        <v/>
      </c>
      <c r="N61" s="39">
        <f>F61*(1-$B$15)+G61+J61+IF($B$19=1,D61*'1_Assumptions'!$E$29,0)-H61-(M61-$B$10)</f>
        <v/>
      </c>
      <c r="O61" s="39">
        <f>D61*(1+('1_Assumptions'!$E$12+$B61))</f>
        <v/>
      </c>
      <c r="P61" s="39">
        <f>O61*(1-'1_Assumptions'!$E$18)</f>
        <v/>
      </c>
      <c r="Q61" s="39">
        <f>O61-P61-O61*$B$11+O61*$B$12</f>
        <v/>
      </c>
      <c r="R61" s="39">
        <f>I61*$B$13</f>
        <v/>
      </c>
      <c r="S61" s="39">
        <f>O61*'1_Assumptions'!$E$24</f>
        <v/>
      </c>
      <c r="T61" s="39">
        <f>I61+S61-R61</f>
        <v/>
      </c>
      <c r="U61" s="39">
        <f>O61*$B$14</f>
        <v/>
      </c>
      <c r="V61" s="39">
        <f>K61-U61</f>
        <v/>
      </c>
      <c r="W61" s="39">
        <f>L61+O61*$B$16-L61/$B$18</f>
        <v/>
      </c>
      <c r="X61" s="39">
        <f>O61*'1_Assumptions'!$B$56/365+P61*'1_Assumptions'!$B$57/365+O61*'1_Assumptions'!$B$54-P61*'1_Assumptions'!$B$58/365-O61*'1_Assumptions'!$B$55</f>
        <v/>
      </c>
      <c r="Y61" s="39">
        <f>Q61*(1-$B$15)+R61+U61+IF($B$19=1,O61*'1_Assumptions'!$E$30,0)-S61-(X61-M61)</f>
        <v/>
      </c>
      <c r="Z61" s="39">
        <f>O61*(1+('1_Assumptions'!$E$13+$B61))</f>
        <v/>
      </c>
      <c r="AA61" s="39">
        <f>Z61*(1-'1_Assumptions'!$E$19)</f>
        <v/>
      </c>
      <c r="AB61" s="39">
        <f>Z61-AA61-Z61*$B$11+Z61*$B$12</f>
        <v/>
      </c>
      <c r="AC61" s="39">
        <f>T61*$B$13</f>
        <v/>
      </c>
      <c r="AD61" s="39">
        <f>Z61*'1_Assumptions'!$E$25</f>
        <v/>
      </c>
      <c r="AE61" s="39">
        <f>T61+AD61-AC61</f>
        <v/>
      </c>
      <c r="AF61" s="39">
        <f>Z61*$B$14</f>
        <v/>
      </c>
      <c r="AG61" s="39">
        <f>V61-AF61</f>
        <v/>
      </c>
      <c r="AH61" s="39">
        <f>W61+Z61*$B$16-W61/$B$18</f>
        <v/>
      </c>
      <c r="AI61" s="39">
        <f>Z61*'1_Assumptions'!$B$56/365+AA61*'1_Assumptions'!$B$57/365+Z61*'1_Assumptions'!$B$54-AA61*'1_Assumptions'!$B$58/365-Z61*'1_Assumptions'!$B$55</f>
        <v/>
      </c>
      <c r="AJ61" s="39">
        <f>AB61*(1-$B$15)+AC61+AF61+IF($B$19=1,Z61*'1_Assumptions'!$E$31,0)-AD61-(AI61-X61)</f>
        <v/>
      </c>
      <c r="AK61" s="39">
        <f>Z61*(1+('1_Assumptions'!$E$14+$B61))</f>
        <v/>
      </c>
      <c r="AL61" s="39">
        <f>AK61*(1-'1_Assumptions'!$E$20)</f>
        <v/>
      </c>
      <c r="AM61" s="39">
        <f>AK61-AL61-AK61*$B$11+AK61*$B$12</f>
        <v/>
      </c>
      <c r="AN61" s="39">
        <f>AE61*$B$13</f>
        <v/>
      </c>
      <c r="AO61" s="39">
        <f>AK61*'1_Assumptions'!$E$26</f>
        <v/>
      </c>
      <c r="AP61" s="39">
        <f>AE61+AO61-AN61</f>
        <v/>
      </c>
      <c r="AQ61" s="39">
        <f>AK61*$B$14</f>
        <v/>
      </c>
      <c r="AR61" s="39">
        <f>AG61-AQ61</f>
        <v/>
      </c>
      <c r="AS61" s="39">
        <f>AH61+AK61*$B$16-AH61/$B$18</f>
        <v/>
      </c>
      <c r="AT61" s="39">
        <f>AK61*'1_Assumptions'!$B$56/365+AL61*'1_Assumptions'!$B$57/365+AK61*'1_Assumptions'!$B$54-AL61*'1_Assumptions'!$B$58/365-AK61*'1_Assumptions'!$B$55</f>
        <v/>
      </c>
      <c r="AU61" s="39">
        <f>AM61*(1-$B$15)+AN61+AQ61+IF($B$19=1,AK61*'1_Assumptions'!$E$32,0)-AO61-(AT61-AI61)</f>
        <v/>
      </c>
      <c r="AV61" s="39">
        <f>AK61*(1+('1_Assumptions'!$E$15+$B61))</f>
        <v/>
      </c>
      <c r="AW61" s="39">
        <f>AV61*(1-'1_Assumptions'!$E$21)</f>
        <v/>
      </c>
      <c r="AX61" s="39">
        <f>AV61-AW61-AV61*$B$11+AV61*$B$12</f>
        <v/>
      </c>
      <c r="AY61" s="39">
        <f>AP61*$B$13</f>
        <v/>
      </c>
      <c r="AZ61" s="39">
        <f>AV61*'1_Assumptions'!$E$27</f>
        <v/>
      </c>
      <c r="BA61" s="39">
        <f>AP61+AZ61-AY61</f>
        <v/>
      </c>
      <c r="BB61" s="39">
        <f>AV61*$B$14</f>
        <v/>
      </c>
      <c r="BC61" s="39">
        <f>AR61-BB61</f>
        <v/>
      </c>
      <c r="BD61" s="39">
        <f>AS61+AV61*$B$16-AS61/$B$18</f>
        <v/>
      </c>
      <c r="BE61" s="39">
        <f>AV61*'1_Assumptions'!$B$56/365+AW61*'1_Assumptions'!$B$57/365+AV61*'1_Assumptions'!$B$54-AW61*'1_Assumptions'!$B$58/365-AV61*'1_Assumptions'!$B$55</f>
        <v/>
      </c>
      <c r="BF61" s="39">
        <f>AX61*(1-$B$15)+AY61+BB61+IF($B$19=1,AV61*'1_Assumptions'!$E$33,0)-AZ61-(BE61-AT61)</f>
        <v/>
      </c>
      <c r="BG61" s="39">
        <f>N61/(1+$B$21)^(1-0.5*$B$23)+Y61/(1+$B$21)^(2-0.5*$B$23)+AJ61/(1+$B$21)^(3-0.5*$B$23)+AU61/(1+$B$21)^(4-0.5*$B$23)+BF61/(1+$B$21)^(5-0.5*$B$23)</f>
        <v/>
      </c>
      <c r="BH61" s="39">
        <f>BE61+BA61+BC61+$B$9+IF($B$17=1,BD61,0)</f>
        <v/>
      </c>
      <c r="BI61" s="19">
        <f>IF($B$32=2,$B$21+$B$33,IF(BH61=0,0,BL61/BH61))</f>
        <v/>
      </c>
      <c r="BJ61" s="19">
        <f>IF(BI61=0,9,$C61/BI61)</f>
        <v/>
      </c>
      <c r="BK61" s="55">
        <f>IF(OR(BH61&lt;=0,BI61&lt;=$B$21,BJ61&gt;=1,BJ61&lt;0),1,0)</f>
        <v/>
      </c>
      <c r="BL61" s="39">
        <f>AX61*(1-$B$20)</f>
        <v/>
      </c>
      <c r="BM61" s="39">
        <f>IF(BK61=1,BL61,AX61*(1+$C61)*(1-$B$20)*(1-BJ61))</f>
        <v/>
      </c>
      <c r="BN61" s="39">
        <f>IF(BK61=1,BL61/$B$21,BM61/($B$21-$C61))</f>
        <v/>
      </c>
      <c r="BO61" s="39">
        <f>BN61/(1+$B$21)^(5-0.5*$B$23)</f>
        <v/>
      </c>
      <c r="BP61" s="39">
        <f>BG61+BO61</f>
        <v/>
      </c>
      <c r="BQ61" s="39">
        <f>BP61*(1+$B$21)^$B$24-N61*$B$24*(1+$B$21)^($B$24/2)</f>
        <v/>
      </c>
      <c r="BR61" s="39">
        <f>BQ61-$B$25+$B$26+$B$27</f>
        <v/>
      </c>
      <c r="BS61" s="39">
        <f>IF($B$28=1,$B$30,BR61*$B$29)</f>
        <v/>
      </c>
      <c r="BT61" s="39">
        <f>BR61-BS61</f>
        <v/>
      </c>
      <c r="BU61" s="58">
        <f>BT61/$B$31</f>
        <v/>
      </c>
    </row>
    <row r="62">
      <c r="A62" s="17" t="inlineStr">
        <is>
          <t>5-5</t>
        </is>
      </c>
      <c r="B62" s="26" t="n">
        <v>0.06</v>
      </c>
      <c r="C62" s="26" t="n">
        <v>0.04</v>
      </c>
      <c r="D62" s="39">
        <f>$B$5*(1+('1_Assumptions'!$E$11+IF('1_Assumptions'!$B$39=1,0,$B62)))</f>
        <v/>
      </c>
      <c r="E62" s="39">
        <f>D62*(1-'1_Assumptions'!$E$17)</f>
        <v/>
      </c>
      <c r="F62" s="39">
        <f>D62-E62-D62*$B$11+D62*$B$12</f>
        <v/>
      </c>
      <c r="G62" s="39">
        <f>$B$6*$B$13</f>
        <v/>
      </c>
      <c r="H62" s="39">
        <f>D62*'1_Assumptions'!$E$23</f>
        <v/>
      </c>
      <c r="I62" s="39">
        <f>$B$6+H62-G62</f>
        <v/>
      </c>
      <c r="J62" s="39">
        <f>D62*$B$14</f>
        <v/>
      </c>
      <c r="K62" s="39">
        <f>$B$7-J62</f>
        <v/>
      </c>
      <c r="L62" s="39">
        <f>$B$8+D62*$B$16-$B$8/$B$18</f>
        <v/>
      </c>
      <c r="M62" s="39">
        <f>D62*'1_Assumptions'!$B$56/365+E62*'1_Assumptions'!$B$57/365+D62*'1_Assumptions'!$B$54-E62*'1_Assumptions'!$B$58/365-D62*'1_Assumptions'!$B$55</f>
        <v/>
      </c>
      <c r="N62" s="39">
        <f>F62*(1-$B$15)+G62+J62+IF($B$19=1,D62*'1_Assumptions'!$E$29,0)-H62-(M62-$B$10)</f>
        <v/>
      </c>
      <c r="O62" s="39">
        <f>D62*(1+('1_Assumptions'!$E$12+$B62))</f>
        <v/>
      </c>
      <c r="P62" s="39">
        <f>O62*(1-'1_Assumptions'!$E$18)</f>
        <v/>
      </c>
      <c r="Q62" s="39">
        <f>O62-P62-O62*$B$11+O62*$B$12</f>
        <v/>
      </c>
      <c r="R62" s="39">
        <f>I62*$B$13</f>
        <v/>
      </c>
      <c r="S62" s="39">
        <f>O62*'1_Assumptions'!$E$24</f>
        <v/>
      </c>
      <c r="T62" s="39">
        <f>I62+S62-R62</f>
        <v/>
      </c>
      <c r="U62" s="39">
        <f>O62*$B$14</f>
        <v/>
      </c>
      <c r="V62" s="39">
        <f>K62-U62</f>
        <v/>
      </c>
      <c r="W62" s="39">
        <f>L62+O62*$B$16-L62/$B$18</f>
        <v/>
      </c>
      <c r="X62" s="39">
        <f>O62*'1_Assumptions'!$B$56/365+P62*'1_Assumptions'!$B$57/365+O62*'1_Assumptions'!$B$54-P62*'1_Assumptions'!$B$58/365-O62*'1_Assumptions'!$B$55</f>
        <v/>
      </c>
      <c r="Y62" s="39">
        <f>Q62*(1-$B$15)+R62+U62+IF($B$19=1,O62*'1_Assumptions'!$E$30,0)-S62-(X62-M62)</f>
        <v/>
      </c>
      <c r="Z62" s="39">
        <f>O62*(1+('1_Assumptions'!$E$13+$B62))</f>
        <v/>
      </c>
      <c r="AA62" s="39">
        <f>Z62*(1-'1_Assumptions'!$E$19)</f>
        <v/>
      </c>
      <c r="AB62" s="39">
        <f>Z62-AA62-Z62*$B$11+Z62*$B$12</f>
        <v/>
      </c>
      <c r="AC62" s="39">
        <f>T62*$B$13</f>
        <v/>
      </c>
      <c r="AD62" s="39">
        <f>Z62*'1_Assumptions'!$E$25</f>
        <v/>
      </c>
      <c r="AE62" s="39">
        <f>T62+AD62-AC62</f>
        <v/>
      </c>
      <c r="AF62" s="39">
        <f>Z62*$B$14</f>
        <v/>
      </c>
      <c r="AG62" s="39">
        <f>V62-AF62</f>
        <v/>
      </c>
      <c r="AH62" s="39">
        <f>W62+Z62*$B$16-W62/$B$18</f>
        <v/>
      </c>
      <c r="AI62" s="39">
        <f>Z62*'1_Assumptions'!$B$56/365+AA62*'1_Assumptions'!$B$57/365+Z62*'1_Assumptions'!$B$54-AA62*'1_Assumptions'!$B$58/365-Z62*'1_Assumptions'!$B$55</f>
        <v/>
      </c>
      <c r="AJ62" s="39">
        <f>AB62*(1-$B$15)+AC62+AF62+IF($B$19=1,Z62*'1_Assumptions'!$E$31,0)-AD62-(AI62-X62)</f>
        <v/>
      </c>
      <c r="AK62" s="39">
        <f>Z62*(1+('1_Assumptions'!$E$14+$B62))</f>
        <v/>
      </c>
      <c r="AL62" s="39">
        <f>AK62*(1-'1_Assumptions'!$E$20)</f>
        <v/>
      </c>
      <c r="AM62" s="39">
        <f>AK62-AL62-AK62*$B$11+AK62*$B$12</f>
        <v/>
      </c>
      <c r="AN62" s="39">
        <f>AE62*$B$13</f>
        <v/>
      </c>
      <c r="AO62" s="39">
        <f>AK62*'1_Assumptions'!$E$26</f>
        <v/>
      </c>
      <c r="AP62" s="39">
        <f>AE62+AO62-AN62</f>
        <v/>
      </c>
      <c r="AQ62" s="39">
        <f>AK62*$B$14</f>
        <v/>
      </c>
      <c r="AR62" s="39">
        <f>AG62-AQ62</f>
        <v/>
      </c>
      <c r="AS62" s="39">
        <f>AH62+AK62*$B$16-AH62/$B$18</f>
        <v/>
      </c>
      <c r="AT62" s="39">
        <f>AK62*'1_Assumptions'!$B$56/365+AL62*'1_Assumptions'!$B$57/365+AK62*'1_Assumptions'!$B$54-AL62*'1_Assumptions'!$B$58/365-AK62*'1_Assumptions'!$B$55</f>
        <v/>
      </c>
      <c r="AU62" s="39">
        <f>AM62*(1-$B$15)+AN62+AQ62+IF($B$19=1,AK62*'1_Assumptions'!$E$32,0)-AO62-(AT62-AI62)</f>
        <v/>
      </c>
      <c r="AV62" s="39">
        <f>AK62*(1+('1_Assumptions'!$E$15+$B62))</f>
        <v/>
      </c>
      <c r="AW62" s="39">
        <f>AV62*(1-'1_Assumptions'!$E$21)</f>
        <v/>
      </c>
      <c r="AX62" s="39">
        <f>AV62-AW62-AV62*$B$11+AV62*$B$12</f>
        <v/>
      </c>
      <c r="AY62" s="39">
        <f>AP62*$B$13</f>
        <v/>
      </c>
      <c r="AZ62" s="39">
        <f>AV62*'1_Assumptions'!$E$27</f>
        <v/>
      </c>
      <c r="BA62" s="39">
        <f>AP62+AZ62-AY62</f>
        <v/>
      </c>
      <c r="BB62" s="39">
        <f>AV62*$B$14</f>
        <v/>
      </c>
      <c r="BC62" s="39">
        <f>AR62-BB62</f>
        <v/>
      </c>
      <c r="BD62" s="39">
        <f>AS62+AV62*$B$16-AS62/$B$18</f>
        <v/>
      </c>
      <c r="BE62" s="39">
        <f>AV62*'1_Assumptions'!$B$56/365+AW62*'1_Assumptions'!$B$57/365+AV62*'1_Assumptions'!$B$54-AW62*'1_Assumptions'!$B$58/365-AV62*'1_Assumptions'!$B$55</f>
        <v/>
      </c>
      <c r="BF62" s="39">
        <f>AX62*(1-$B$15)+AY62+BB62+IF($B$19=1,AV62*'1_Assumptions'!$E$33,0)-AZ62-(BE62-AT62)</f>
        <v/>
      </c>
      <c r="BG62" s="39">
        <f>N62/(1+$B$21)^(1-0.5*$B$23)+Y62/(1+$B$21)^(2-0.5*$B$23)+AJ62/(1+$B$21)^(3-0.5*$B$23)+AU62/(1+$B$21)^(4-0.5*$B$23)+BF62/(1+$B$21)^(5-0.5*$B$23)</f>
        <v/>
      </c>
      <c r="BH62" s="39">
        <f>BE62+BA62+BC62+$B$9+IF($B$17=1,BD62,0)</f>
        <v/>
      </c>
      <c r="BI62" s="19">
        <f>IF($B$32=2,$B$21+$B$33,IF(BH62=0,0,BL62/BH62))</f>
        <v/>
      </c>
      <c r="BJ62" s="19">
        <f>IF(BI62=0,9,$C62/BI62)</f>
        <v/>
      </c>
      <c r="BK62" s="55">
        <f>IF(OR(BH62&lt;=0,BI62&lt;=$B$21,BJ62&gt;=1,BJ62&lt;0),1,0)</f>
        <v/>
      </c>
      <c r="BL62" s="39">
        <f>AX62*(1-$B$20)</f>
        <v/>
      </c>
      <c r="BM62" s="39">
        <f>IF(BK62=1,BL62,AX62*(1+$C62)*(1-$B$20)*(1-BJ62))</f>
        <v/>
      </c>
      <c r="BN62" s="39">
        <f>IF(BK62=1,BL62/$B$21,BM62/($B$21-$C62))</f>
        <v/>
      </c>
      <c r="BO62" s="39">
        <f>BN62/(1+$B$21)^(5-0.5*$B$23)</f>
        <v/>
      </c>
      <c r="BP62" s="39">
        <f>BG62+BO62</f>
        <v/>
      </c>
      <c r="BQ62" s="39">
        <f>BP62*(1+$B$21)^$B$24-N62*$B$24*(1+$B$21)^($B$24/2)</f>
        <v/>
      </c>
      <c r="BR62" s="39">
        <f>BQ62-$B$25+$B$26+$B$27</f>
        <v/>
      </c>
      <c r="BS62" s="39">
        <f>IF($B$28=1,$B$30,BR62*$B$29)</f>
        <v/>
      </c>
      <c r="BT62" s="39">
        <f>BR62-BS62</f>
        <v/>
      </c>
      <c r="BU62" s="58">
        <f>BT62/$B$31</f>
        <v/>
      </c>
    </row>
    <row r="64">
      <c r="A64" s="4" t="inlineStr">
        <is>
          <t>模块 B：毛利率平移 × 永续增长率 g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</row>
    <row r="65">
      <c r="A65" s="15" t="inlineStr">
        <is>
          <t>毛利率是判断项里最敏感的一个：1pp 的持续偏差会被终值放大</t>
        </is>
      </c>
    </row>
    <row r="66">
      <c r="A66" s="10" t="inlineStr">
        <is>
          <t>场景</t>
        </is>
      </c>
      <c r="B66" s="10" t="inlineStr">
        <is>
          <t>毛利率 Δ</t>
        </is>
      </c>
      <c r="C66" s="10" t="inlineStr">
        <is>
          <t>永续 g</t>
        </is>
      </c>
      <c r="D66" s="10" t="inlineStr">
        <is>
          <t>营收1</t>
        </is>
      </c>
      <c r="E66" s="10" t="inlineStr">
        <is>
          <t>成本1</t>
        </is>
      </c>
      <c r="F66" s="10" t="inlineStr">
        <is>
          <t>EBIT1</t>
        </is>
      </c>
      <c r="G66" s="10" t="inlineStr">
        <is>
          <t>折旧1</t>
        </is>
      </c>
      <c r="H66" s="10" t="inlineStr">
        <is>
          <t>资本开支1</t>
        </is>
      </c>
      <c r="I66" s="10" t="inlineStr">
        <is>
          <t>期末固资1</t>
        </is>
      </c>
      <c r="J66" s="10" t="inlineStr">
        <is>
          <t>摊销1</t>
        </is>
      </c>
      <c r="K66" s="10" t="inlineStr">
        <is>
          <t>商誉无形1</t>
        </is>
      </c>
      <c r="L66" s="10" t="inlineStr">
        <is>
          <t>研发资本1</t>
        </is>
      </c>
      <c r="M66" s="10" t="inlineStr">
        <is>
          <t>NWC1</t>
        </is>
      </c>
      <c r="N66" s="10" t="inlineStr">
        <is>
          <t>FCFF1</t>
        </is>
      </c>
      <c r="O66" s="10" t="inlineStr">
        <is>
          <t>营收2</t>
        </is>
      </c>
      <c r="P66" s="10" t="inlineStr">
        <is>
          <t>成本2</t>
        </is>
      </c>
      <c r="Q66" s="10" t="inlineStr">
        <is>
          <t>EBIT2</t>
        </is>
      </c>
      <c r="R66" s="10" t="inlineStr">
        <is>
          <t>折旧2</t>
        </is>
      </c>
      <c r="S66" s="10" t="inlineStr">
        <is>
          <t>资本开支2</t>
        </is>
      </c>
      <c r="T66" s="10" t="inlineStr">
        <is>
          <t>期末固资2</t>
        </is>
      </c>
      <c r="U66" s="10" t="inlineStr">
        <is>
          <t>摊销2</t>
        </is>
      </c>
      <c r="V66" s="10" t="inlineStr">
        <is>
          <t>商誉无形2</t>
        </is>
      </c>
      <c r="W66" s="10" t="inlineStr">
        <is>
          <t>研发资本2</t>
        </is>
      </c>
      <c r="X66" s="10" t="inlineStr">
        <is>
          <t>NWC2</t>
        </is>
      </c>
      <c r="Y66" s="10" t="inlineStr">
        <is>
          <t>FCFF2</t>
        </is>
      </c>
      <c r="Z66" s="10" t="inlineStr">
        <is>
          <t>营收3</t>
        </is>
      </c>
      <c r="AA66" s="10" t="inlineStr">
        <is>
          <t>成本3</t>
        </is>
      </c>
      <c r="AB66" s="10" t="inlineStr">
        <is>
          <t>EBIT3</t>
        </is>
      </c>
      <c r="AC66" s="10" t="inlineStr">
        <is>
          <t>折旧3</t>
        </is>
      </c>
      <c r="AD66" s="10" t="inlineStr">
        <is>
          <t>资本开支3</t>
        </is>
      </c>
      <c r="AE66" s="10" t="inlineStr">
        <is>
          <t>期末固资3</t>
        </is>
      </c>
      <c r="AF66" s="10" t="inlineStr">
        <is>
          <t>摊销3</t>
        </is>
      </c>
      <c r="AG66" s="10" t="inlineStr">
        <is>
          <t>商誉无形3</t>
        </is>
      </c>
      <c r="AH66" s="10" t="inlineStr">
        <is>
          <t>研发资本3</t>
        </is>
      </c>
      <c r="AI66" s="10" t="inlineStr">
        <is>
          <t>NWC3</t>
        </is>
      </c>
      <c r="AJ66" s="10" t="inlineStr">
        <is>
          <t>FCFF3</t>
        </is>
      </c>
      <c r="AK66" s="10" t="inlineStr">
        <is>
          <t>营收4</t>
        </is>
      </c>
      <c r="AL66" s="10" t="inlineStr">
        <is>
          <t>成本4</t>
        </is>
      </c>
      <c r="AM66" s="10" t="inlineStr">
        <is>
          <t>EBIT4</t>
        </is>
      </c>
      <c r="AN66" s="10" t="inlineStr">
        <is>
          <t>折旧4</t>
        </is>
      </c>
      <c r="AO66" s="10" t="inlineStr">
        <is>
          <t>资本开支4</t>
        </is>
      </c>
      <c r="AP66" s="10" t="inlineStr">
        <is>
          <t>期末固资4</t>
        </is>
      </c>
      <c r="AQ66" s="10" t="inlineStr">
        <is>
          <t>摊销4</t>
        </is>
      </c>
      <c r="AR66" s="10" t="inlineStr">
        <is>
          <t>商誉无形4</t>
        </is>
      </c>
      <c r="AS66" s="10" t="inlineStr">
        <is>
          <t>研发资本4</t>
        </is>
      </c>
      <c r="AT66" s="10" t="inlineStr">
        <is>
          <t>NWC4</t>
        </is>
      </c>
      <c r="AU66" s="10" t="inlineStr">
        <is>
          <t>FCFF4</t>
        </is>
      </c>
      <c r="AV66" s="10" t="inlineStr">
        <is>
          <t>营收5</t>
        </is>
      </c>
      <c r="AW66" s="10" t="inlineStr">
        <is>
          <t>成本5</t>
        </is>
      </c>
      <c r="AX66" s="10" t="inlineStr">
        <is>
          <t>EBIT5</t>
        </is>
      </c>
      <c r="AY66" s="10" t="inlineStr">
        <is>
          <t>折旧5</t>
        </is>
      </c>
      <c r="AZ66" s="10" t="inlineStr">
        <is>
          <t>资本开支5</t>
        </is>
      </c>
      <c r="BA66" s="10" t="inlineStr">
        <is>
          <t>期末固资5</t>
        </is>
      </c>
      <c r="BB66" s="10" t="inlineStr">
        <is>
          <t>摊销5</t>
        </is>
      </c>
      <c r="BC66" s="10" t="inlineStr">
        <is>
          <t>商誉无形5</t>
        </is>
      </c>
      <c r="BD66" s="10" t="inlineStr">
        <is>
          <t>研发资本5</t>
        </is>
      </c>
      <c r="BE66" s="10" t="inlineStr">
        <is>
          <t>NWC5</t>
        </is>
      </c>
      <c r="BF66" s="10" t="inlineStr">
        <is>
          <t>FCFF5</t>
        </is>
      </c>
      <c r="BG66" s="10" t="inlineStr">
        <is>
          <t>PV明确期</t>
        </is>
      </c>
      <c r="BH66" s="10" t="inlineStr">
        <is>
          <t>终值IC</t>
        </is>
      </c>
      <c r="BI66" s="10" t="inlineStr">
        <is>
          <t>终值ROIC</t>
        </is>
      </c>
      <c r="BJ66" s="10" t="inlineStr">
        <is>
          <t>再投资率</t>
        </is>
      </c>
      <c r="BK66" s="10" t="inlineStr">
        <is>
          <t>降级</t>
        </is>
      </c>
      <c r="BL66" s="10" t="inlineStr">
        <is>
          <t>终值NOPAT</t>
        </is>
      </c>
      <c r="BM66" s="10" t="inlineStr">
        <is>
          <t>终值FCFF</t>
        </is>
      </c>
      <c r="BN66" s="10" t="inlineStr">
        <is>
          <t>TV</t>
        </is>
      </c>
      <c r="BO66" s="10" t="inlineStr">
        <is>
          <t>PV(TV)</t>
        </is>
      </c>
      <c r="BP66" s="10" t="inlineStr">
        <is>
          <t>EV0</t>
        </is>
      </c>
      <c r="BQ66" s="10" t="inlineStr">
        <is>
          <t>EV</t>
        </is>
      </c>
      <c r="BR66" s="10" t="inlineStr">
        <is>
          <t>全体权益</t>
        </is>
      </c>
      <c r="BS66" s="10" t="inlineStr">
        <is>
          <t>少数股东</t>
        </is>
      </c>
      <c r="BT66" s="10" t="inlineStr">
        <is>
          <t>归母权益</t>
        </is>
      </c>
      <c r="BU66" s="10" t="inlineStr">
        <is>
          <t>每股</t>
        </is>
      </c>
    </row>
    <row r="67">
      <c r="A67" s="17" t="inlineStr">
        <is>
          <t>1-1</t>
        </is>
      </c>
      <c r="B67" s="26" t="n">
        <v>-0.04</v>
      </c>
      <c r="C67" s="26" t="n">
        <v>0.01</v>
      </c>
      <c r="D67" s="39">
        <f>$B$5*(1+'1_Assumptions'!$E$11)</f>
        <v/>
      </c>
      <c r="E67" s="39">
        <f>D67*(1-('1_Assumptions'!$E$17+IF('1_Assumptions'!$B$39=1,0,$B67)))</f>
        <v/>
      </c>
      <c r="F67" s="39">
        <f>D67-E67-D67*$B$11+D67*$B$12</f>
        <v/>
      </c>
      <c r="G67" s="39">
        <f>$B$6*$B$13</f>
        <v/>
      </c>
      <c r="H67" s="39">
        <f>D67*'1_Assumptions'!$E$23</f>
        <v/>
      </c>
      <c r="I67" s="39">
        <f>$B$6+H67-G67</f>
        <v/>
      </c>
      <c r="J67" s="39">
        <f>D67*$B$14</f>
        <v/>
      </c>
      <c r="K67" s="39">
        <f>$B$7-J67</f>
        <v/>
      </c>
      <c r="L67" s="39">
        <f>$B$8+D67*$B$16-$B$8/$B$18</f>
        <v/>
      </c>
      <c r="M67" s="39">
        <f>D67*'1_Assumptions'!$B$56/365+E67*'1_Assumptions'!$B$57/365+D67*'1_Assumptions'!$B$54-E67*'1_Assumptions'!$B$58/365-D67*'1_Assumptions'!$B$55</f>
        <v/>
      </c>
      <c r="N67" s="39">
        <f>F67*(1-$B$15)+G67+J67+IF($B$19=1,D67*'1_Assumptions'!$E$29,0)-H67-(M67-$B$10)</f>
        <v/>
      </c>
      <c r="O67" s="39">
        <f>D67*(1+'1_Assumptions'!$E$12)</f>
        <v/>
      </c>
      <c r="P67" s="39">
        <f>O67*(1-('1_Assumptions'!$E$18+$B67))</f>
        <v/>
      </c>
      <c r="Q67" s="39">
        <f>O67-P67-O67*$B$11+O67*$B$12</f>
        <v/>
      </c>
      <c r="R67" s="39">
        <f>I67*$B$13</f>
        <v/>
      </c>
      <c r="S67" s="39">
        <f>O67*'1_Assumptions'!$E$24</f>
        <v/>
      </c>
      <c r="T67" s="39">
        <f>I67+S67-R67</f>
        <v/>
      </c>
      <c r="U67" s="39">
        <f>O67*$B$14</f>
        <v/>
      </c>
      <c r="V67" s="39">
        <f>K67-U67</f>
        <v/>
      </c>
      <c r="W67" s="39">
        <f>L67+O67*$B$16-L67/$B$18</f>
        <v/>
      </c>
      <c r="X67" s="39">
        <f>O67*'1_Assumptions'!$B$56/365+P67*'1_Assumptions'!$B$57/365+O67*'1_Assumptions'!$B$54-P67*'1_Assumptions'!$B$58/365-O67*'1_Assumptions'!$B$55</f>
        <v/>
      </c>
      <c r="Y67" s="39">
        <f>Q67*(1-$B$15)+R67+U67+IF($B$19=1,O67*'1_Assumptions'!$E$30,0)-S67-(X67-M67)</f>
        <v/>
      </c>
      <c r="Z67" s="39">
        <f>O67*(1+'1_Assumptions'!$E$13)</f>
        <v/>
      </c>
      <c r="AA67" s="39">
        <f>Z67*(1-('1_Assumptions'!$E$19+$B67))</f>
        <v/>
      </c>
      <c r="AB67" s="39">
        <f>Z67-AA67-Z67*$B$11+Z67*$B$12</f>
        <v/>
      </c>
      <c r="AC67" s="39">
        <f>T67*$B$13</f>
        <v/>
      </c>
      <c r="AD67" s="39">
        <f>Z67*'1_Assumptions'!$E$25</f>
        <v/>
      </c>
      <c r="AE67" s="39">
        <f>T67+AD67-AC67</f>
        <v/>
      </c>
      <c r="AF67" s="39">
        <f>Z67*$B$14</f>
        <v/>
      </c>
      <c r="AG67" s="39">
        <f>V67-AF67</f>
        <v/>
      </c>
      <c r="AH67" s="39">
        <f>W67+Z67*$B$16-W67/$B$18</f>
        <v/>
      </c>
      <c r="AI67" s="39">
        <f>Z67*'1_Assumptions'!$B$56/365+AA67*'1_Assumptions'!$B$57/365+Z67*'1_Assumptions'!$B$54-AA67*'1_Assumptions'!$B$58/365-Z67*'1_Assumptions'!$B$55</f>
        <v/>
      </c>
      <c r="AJ67" s="39">
        <f>AB67*(1-$B$15)+AC67+AF67+IF($B$19=1,Z67*'1_Assumptions'!$E$31,0)-AD67-(AI67-X67)</f>
        <v/>
      </c>
      <c r="AK67" s="39">
        <f>Z67*(1+'1_Assumptions'!$E$14)</f>
        <v/>
      </c>
      <c r="AL67" s="39">
        <f>AK67*(1-('1_Assumptions'!$E$20+$B67))</f>
        <v/>
      </c>
      <c r="AM67" s="39">
        <f>AK67-AL67-AK67*$B$11+AK67*$B$12</f>
        <v/>
      </c>
      <c r="AN67" s="39">
        <f>AE67*$B$13</f>
        <v/>
      </c>
      <c r="AO67" s="39">
        <f>AK67*'1_Assumptions'!$E$26</f>
        <v/>
      </c>
      <c r="AP67" s="39">
        <f>AE67+AO67-AN67</f>
        <v/>
      </c>
      <c r="AQ67" s="39">
        <f>AK67*$B$14</f>
        <v/>
      </c>
      <c r="AR67" s="39">
        <f>AG67-AQ67</f>
        <v/>
      </c>
      <c r="AS67" s="39">
        <f>AH67+AK67*$B$16-AH67/$B$18</f>
        <v/>
      </c>
      <c r="AT67" s="39">
        <f>AK67*'1_Assumptions'!$B$56/365+AL67*'1_Assumptions'!$B$57/365+AK67*'1_Assumptions'!$B$54-AL67*'1_Assumptions'!$B$58/365-AK67*'1_Assumptions'!$B$55</f>
        <v/>
      </c>
      <c r="AU67" s="39">
        <f>AM67*(1-$B$15)+AN67+AQ67+IF($B$19=1,AK67*'1_Assumptions'!$E$32,0)-AO67-(AT67-AI67)</f>
        <v/>
      </c>
      <c r="AV67" s="39">
        <f>AK67*(1+'1_Assumptions'!$E$15)</f>
        <v/>
      </c>
      <c r="AW67" s="39">
        <f>AV67*(1-('1_Assumptions'!$E$21+$B67))</f>
        <v/>
      </c>
      <c r="AX67" s="39">
        <f>AV67-AW67-AV67*$B$11+AV67*$B$12</f>
        <v/>
      </c>
      <c r="AY67" s="39">
        <f>AP67*$B$13</f>
        <v/>
      </c>
      <c r="AZ67" s="39">
        <f>AV67*'1_Assumptions'!$E$27</f>
        <v/>
      </c>
      <c r="BA67" s="39">
        <f>AP67+AZ67-AY67</f>
        <v/>
      </c>
      <c r="BB67" s="39">
        <f>AV67*$B$14</f>
        <v/>
      </c>
      <c r="BC67" s="39">
        <f>AR67-BB67</f>
        <v/>
      </c>
      <c r="BD67" s="39">
        <f>AS67+AV67*$B$16-AS67/$B$18</f>
        <v/>
      </c>
      <c r="BE67" s="39">
        <f>AV67*'1_Assumptions'!$B$56/365+AW67*'1_Assumptions'!$B$57/365+AV67*'1_Assumptions'!$B$54-AW67*'1_Assumptions'!$B$58/365-AV67*'1_Assumptions'!$B$55</f>
        <v/>
      </c>
      <c r="BF67" s="39">
        <f>AX67*(1-$B$15)+AY67+BB67+IF($B$19=1,AV67*'1_Assumptions'!$E$33,0)-AZ67-(BE67-AT67)</f>
        <v/>
      </c>
      <c r="BG67" s="39">
        <f>N67/(1+$B$21)^(1-0.5*$B$23)+Y67/(1+$B$21)^(2-0.5*$B$23)+AJ67/(1+$B$21)^(3-0.5*$B$23)+AU67/(1+$B$21)^(4-0.5*$B$23)+BF67/(1+$B$21)^(5-0.5*$B$23)</f>
        <v/>
      </c>
      <c r="BH67" s="39">
        <f>BE67+BA67+BC67+$B$9+IF($B$17=1,BD67,0)</f>
        <v/>
      </c>
      <c r="BI67" s="19">
        <f>IF($B$32=2,$B$21+$B$33,IF(BH67=0,0,BL67/BH67))</f>
        <v/>
      </c>
      <c r="BJ67" s="19">
        <f>IF(BI67=0,9,$C67/BI67)</f>
        <v/>
      </c>
      <c r="BK67" s="55">
        <f>IF(OR(BH67&lt;=0,BI67&lt;=$B$21,BJ67&gt;=1,BJ67&lt;0),1,0)</f>
        <v/>
      </c>
      <c r="BL67" s="39">
        <f>AX67*(1-$B$20)</f>
        <v/>
      </c>
      <c r="BM67" s="39">
        <f>IF(BK67=1,BL67,AX67*(1+$C67)*(1-$B$20)*(1-BJ67))</f>
        <v/>
      </c>
      <c r="BN67" s="39">
        <f>IF(BK67=1,BL67/$B$21,BM67/($B$21-$C67))</f>
        <v/>
      </c>
      <c r="BO67" s="39">
        <f>BN67/(1+$B$21)^(5-0.5*$B$23)</f>
        <v/>
      </c>
      <c r="BP67" s="39">
        <f>BG67+BO67</f>
        <v/>
      </c>
      <c r="BQ67" s="39">
        <f>BP67*(1+$B$21)^$B$24-N67*$B$24*(1+$B$21)^($B$24/2)</f>
        <v/>
      </c>
      <c r="BR67" s="39">
        <f>BQ67-$B$25+$B$26+$B$27</f>
        <v/>
      </c>
      <c r="BS67" s="39">
        <f>IF($B$28=1,$B$30,BR67*$B$29)</f>
        <v/>
      </c>
      <c r="BT67" s="39">
        <f>BR67-BS67</f>
        <v/>
      </c>
      <c r="BU67" s="58">
        <f>BT67/$B$31</f>
        <v/>
      </c>
    </row>
    <row r="68">
      <c r="A68" s="17" t="inlineStr">
        <is>
          <t>1-2</t>
        </is>
      </c>
      <c r="B68" s="26" t="n">
        <v>-0.04</v>
      </c>
      <c r="C68" s="26" t="n">
        <v>0.0175</v>
      </c>
      <c r="D68" s="39">
        <f>$B$5*(1+'1_Assumptions'!$E$11)</f>
        <v/>
      </c>
      <c r="E68" s="39">
        <f>D68*(1-('1_Assumptions'!$E$17+IF('1_Assumptions'!$B$39=1,0,$B68)))</f>
        <v/>
      </c>
      <c r="F68" s="39">
        <f>D68-E68-D68*$B$11+D68*$B$12</f>
        <v/>
      </c>
      <c r="G68" s="39">
        <f>$B$6*$B$13</f>
        <v/>
      </c>
      <c r="H68" s="39">
        <f>D68*'1_Assumptions'!$E$23</f>
        <v/>
      </c>
      <c r="I68" s="39">
        <f>$B$6+H68-G68</f>
        <v/>
      </c>
      <c r="J68" s="39">
        <f>D68*$B$14</f>
        <v/>
      </c>
      <c r="K68" s="39">
        <f>$B$7-J68</f>
        <v/>
      </c>
      <c r="L68" s="39">
        <f>$B$8+D68*$B$16-$B$8/$B$18</f>
        <v/>
      </c>
      <c r="M68" s="39">
        <f>D68*'1_Assumptions'!$B$56/365+E68*'1_Assumptions'!$B$57/365+D68*'1_Assumptions'!$B$54-E68*'1_Assumptions'!$B$58/365-D68*'1_Assumptions'!$B$55</f>
        <v/>
      </c>
      <c r="N68" s="39">
        <f>F68*(1-$B$15)+G68+J68+IF($B$19=1,D68*'1_Assumptions'!$E$29,0)-H68-(M68-$B$10)</f>
        <v/>
      </c>
      <c r="O68" s="39">
        <f>D68*(1+'1_Assumptions'!$E$12)</f>
        <v/>
      </c>
      <c r="P68" s="39">
        <f>O68*(1-('1_Assumptions'!$E$18+$B68))</f>
        <v/>
      </c>
      <c r="Q68" s="39">
        <f>O68-P68-O68*$B$11+O68*$B$12</f>
        <v/>
      </c>
      <c r="R68" s="39">
        <f>I68*$B$13</f>
        <v/>
      </c>
      <c r="S68" s="39">
        <f>O68*'1_Assumptions'!$E$24</f>
        <v/>
      </c>
      <c r="T68" s="39">
        <f>I68+S68-R68</f>
        <v/>
      </c>
      <c r="U68" s="39">
        <f>O68*$B$14</f>
        <v/>
      </c>
      <c r="V68" s="39">
        <f>K68-U68</f>
        <v/>
      </c>
      <c r="W68" s="39">
        <f>L68+O68*$B$16-L68/$B$18</f>
        <v/>
      </c>
      <c r="X68" s="39">
        <f>O68*'1_Assumptions'!$B$56/365+P68*'1_Assumptions'!$B$57/365+O68*'1_Assumptions'!$B$54-P68*'1_Assumptions'!$B$58/365-O68*'1_Assumptions'!$B$55</f>
        <v/>
      </c>
      <c r="Y68" s="39">
        <f>Q68*(1-$B$15)+R68+U68+IF($B$19=1,O68*'1_Assumptions'!$E$30,0)-S68-(X68-M68)</f>
        <v/>
      </c>
      <c r="Z68" s="39">
        <f>O68*(1+'1_Assumptions'!$E$13)</f>
        <v/>
      </c>
      <c r="AA68" s="39">
        <f>Z68*(1-('1_Assumptions'!$E$19+$B68))</f>
        <v/>
      </c>
      <c r="AB68" s="39">
        <f>Z68-AA68-Z68*$B$11+Z68*$B$12</f>
        <v/>
      </c>
      <c r="AC68" s="39">
        <f>T68*$B$13</f>
        <v/>
      </c>
      <c r="AD68" s="39">
        <f>Z68*'1_Assumptions'!$E$25</f>
        <v/>
      </c>
      <c r="AE68" s="39">
        <f>T68+AD68-AC68</f>
        <v/>
      </c>
      <c r="AF68" s="39">
        <f>Z68*$B$14</f>
        <v/>
      </c>
      <c r="AG68" s="39">
        <f>V68-AF68</f>
        <v/>
      </c>
      <c r="AH68" s="39">
        <f>W68+Z68*$B$16-W68/$B$18</f>
        <v/>
      </c>
      <c r="AI68" s="39">
        <f>Z68*'1_Assumptions'!$B$56/365+AA68*'1_Assumptions'!$B$57/365+Z68*'1_Assumptions'!$B$54-AA68*'1_Assumptions'!$B$58/365-Z68*'1_Assumptions'!$B$55</f>
        <v/>
      </c>
      <c r="AJ68" s="39">
        <f>AB68*(1-$B$15)+AC68+AF68+IF($B$19=1,Z68*'1_Assumptions'!$E$31,0)-AD68-(AI68-X68)</f>
        <v/>
      </c>
      <c r="AK68" s="39">
        <f>Z68*(1+'1_Assumptions'!$E$14)</f>
        <v/>
      </c>
      <c r="AL68" s="39">
        <f>AK68*(1-('1_Assumptions'!$E$20+$B68))</f>
        <v/>
      </c>
      <c r="AM68" s="39">
        <f>AK68-AL68-AK68*$B$11+AK68*$B$12</f>
        <v/>
      </c>
      <c r="AN68" s="39">
        <f>AE68*$B$13</f>
        <v/>
      </c>
      <c r="AO68" s="39">
        <f>AK68*'1_Assumptions'!$E$26</f>
        <v/>
      </c>
      <c r="AP68" s="39">
        <f>AE68+AO68-AN68</f>
        <v/>
      </c>
      <c r="AQ68" s="39">
        <f>AK68*$B$14</f>
        <v/>
      </c>
      <c r="AR68" s="39">
        <f>AG68-AQ68</f>
        <v/>
      </c>
      <c r="AS68" s="39">
        <f>AH68+AK68*$B$16-AH68/$B$18</f>
        <v/>
      </c>
      <c r="AT68" s="39">
        <f>AK68*'1_Assumptions'!$B$56/365+AL68*'1_Assumptions'!$B$57/365+AK68*'1_Assumptions'!$B$54-AL68*'1_Assumptions'!$B$58/365-AK68*'1_Assumptions'!$B$55</f>
        <v/>
      </c>
      <c r="AU68" s="39">
        <f>AM68*(1-$B$15)+AN68+AQ68+IF($B$19=1,AK68*'1_Assumptions'!$E$32,0)-AO68-(AT68-AI68)</f>
        <v/>
      </c>
      <c r="AV68" s="39">
        <f>AK68*(1+'1_Assumptions'!$E$15)</f>
        <v/>
      </c>
      <c r="AW68" s="39">
        <f>AV68*(1-('1_Assumptions'!$E$21+$B68))</f>
        <v/>
      </c>
      <c r="AX68" s="39">
        <f>AV68-AW68-AV68*$B$11+AV68*$B$12</f>
        <v/>
      </c>
      <c r="AY68" s="39">
        <f>AP68*$B$13</f>
        <v/>
      </c>
      <c r="AZ68" s="39">
        <f>AV68*'1_Assumptions'!$E$27</f>
        <v/>
      </c>
      <c r="BA68" s="39">
        <f>AP68+AZ68-AY68</f>
        <v/>
      </c>
      <c r="BB68" s="39">
        <f>AV68*$B$14</f>
        <v/>
      </c>
      <c r="BC68" s="39">
        <f>AR68-BB68</f>
        <v/>
      </c>
      <c r="BD68" s="39">
        <f>AS68+AV68*$B$16-AS68/$B$18</f>
        <v/>
      </c>
      <c r="BE68" s="39">
        <f>AV68*'1_Assumptions'!$B$56/365+AW68*'1_Assumptions'!$B$57/365+AV68*'1_Assumptions'!$B$54-AW68*'1_Assumptions'!$B$58/365-AV68*'1_Assumptions'!$B$55</f>
        <v/>
      </c>
      <c r="BF68" s="39">
        <f>AX68*(1-$B$15)+AY68+BB68+IF($B$19=1,AV68*'1_Assumptions'!$E$33,0)-AZ68-(BE68-AT68)</f>
        <v/>
      </c>
      <c r="BG68" s="39">
        <f>N68/(1+$B$21)^(1-0.5*$B$23)+Y68/(1+$B$21)^(2-0.5*$B$23)+AJ68/(1+$B$21)^(3-0.5*$B$23)+AU68/(1+$B$21)^(4-0.5*$B$23)+BF68/(1+$B$21)^(5-0.5*$B$23)</f>
        <v/>
      </c>
      <c r="BH68" s="39">
        <f>BE68+BA68+BC68+$B$9+IF($B$17=1,BD68,0)</f>
        <v/>
      </c>
      <c r="BI68" s="19">
        <f>IF($B$32=2,$B$21+$B$33,IF(BH68=0,0,BL68/BH68))</f>
        <v/>
      </c>
      <c r="BJ68" s="19">
        <f>IF(BI68=0,9,$C68/BI68)</f>
        <v/>
      </c>
      <c r="BK68" s="55">
        <f>IF(OR(BH68&lt;=0,BI68&lt;=$B$21,BJ68&gt;=1,BJ68&lt;0),1,0)</f>
        <v/>
      </c>
      <c r="BL68" s="39">
        <f>AX68*(1-$B$20)</f>
        <v/>
      </c>
      <c r="BM68" s="39">
        <f>IF(BK68=1,BL68,AX68*(1+$C68)*(1-$B$20)*(1-BJ68))</f>
        <v/>
      </c>
      <c r="BN68" s="39">
        <f>IF(BK68=1,BL68/$B$21,BM68/($B$21-$C68))</f>
        <v/>
      </c>
      <c r="BO68" s="39">
        <f>BN68/(1+$B$21)^(5-0.5*$B$23)</f>
        <v/>
      </c>
      <c r="BP68" s="39">
        <f>BG68+BO68</f>
        <v/>
      </c>
      <c r="BQ68" s="39">
        <f>BP68*(1+$B$21)^$B$24-N68*$B$24*(1+$B$21)^($B$24/2)</f>
        <v/>
      </c>
      <c r="BR68" s="39">
        <f>BQ68-$B$25+$B$26+$B$27</f>
        <v/>
      </c>
      <c r="BS68" s="39">
        <f>IF($B$28=1,$B$30,BR68*$B$29)</f>
        <v/>
      </c>
      <c r="BT68" s="39">
        <f>BR68-BS68</f>
        <v/>
      </c>
      <c r="BU68" s="58">
        <f>BT68/$B$31</f>
        <v/>
      </c>
    </row>
    <row r="69">
      <c r="A69" s="17" t="inlineStr">
        <is>
          <t>1-3</t>
        </is>
      </c>
      <c r="B69" s="26" t="n">
        <v>-0.04</v>
      </c>
      <c r="C69" s="26" t="n">
        <v>0.025</v>
      </c>
      <c r="D69" s="39">
        <f>$B$5*(1+'1_Assumptions'!$E$11)</f>
        <v/>
      </c>
      <c r="E69" s="39">
        <f>D69*(1-('1_Assumptions'!$E$17+IF('1_Assumptions'!$B$39=1,0,$B69)))</f>
        <v/>
      </c>
      <c r="F69" s="39">
        <f>D69-E69-D69*$B$11+D69*$B$12</f>
        <v/>
      </c>
      <c r="G69" s="39">
        <f>$B$6*$B$13</f>
        <v/>
      </c>
      <c r="H69" s="39">
        <f>D69*'1_Assumptions'!$E$23</f>
        <v/>
      </c>
      <c r="I69" s="39">
        <f>$B$6+H69-G69</f>
        <v/>
      </c>
      <c r="J69" s="39">
        <f>D69*$B$14</f>
        <v/>
      </c>
      <c r="K69" s="39">
        <f>$B$7-J69</f>
        <v/>
      </c>
      <c r="L69" s="39">
        <f>$B$8+D69*$B$16-$B$8/$B$18</f>
        <v/>
      </c>
      <c r="M69" s="39">
        <f>D69*'1_Assumptions'!$B$56/365+E69*'1_Assumptions'!$B$57/365+D69*'1_Assumptions'!$B$54-E69*'1_Assumptions'!$B$58/365-D69*'1_Assumptions'!$B$55</f>
        <v/>
      </c>
      <c r="N69" s="39">
        <f>F69*(1-$B$15)+G69+J69+IF($B$19=1,D69*'1_Assumptions'!$E$29,0)-H69-(M69-$B$10)</f>
        <v/>
      </c>
      <c r="O69" s="39">
        <f>D69*(1+'1_Assumptions'!$E$12)</f>
        <v/>
      </c>
      <c r="P69" s="39">
        <f>O69*(1-('1_Assumptions'!$E$18+$B69))</f>
        <v/>
      </c>
      <c r="Q69" s="39">
        <f>O69-P69-O69*$B$11+O69*$B$12</f>
        <v/>
      </c>
      <c r="R69" s="39">
        <f>I69*$B$13</f>
        <v/>
      </c>
      <c r="S69" s="39">
        <f>O69*'1_Assumptions'!$E$24</f>
        <v/>
      </c>
      <c r="T69" s="39">
        <f>I69+S69-R69</f>
        <v/>
      </c>
      <c r="U69" s="39">
        <f>O69*$B$14</f>
        <v/>
      </c>
      <c r="V69" s="39">
        <f>K69-U69</f>
        <v/>
      </c>
      <c r="W69" s="39">
        <f>L69+O69*$B$16-L69/$B$18</f>
        <v/>
      </c>
      <c r="X69" s="39">
        <f>O69*'1_Assumptions'!$B$56/365+P69*'1_Assumptions'!$B$57/365+O69*'1_Assumptions'!$B$54-P69*'1_Assumptions'!$B$58/365-O69*'1_Assumptions'!$B$55</f>
        <v/>
      </c>
      <c r="Y69" s="39">
        <f>Q69*(1-$B$15)+R69+U69+IF($B$19=1,O69*'1_Assumptions'!$E$30,0)-S69-(X69-M69)</f>
        <v/>
      </c>
      <c r="Z69" s="39">
        <f>O69*(1+'1_Assumptions'!$E$13)</f>
        <v/>
      </c>
      <c r="AA69" s="39">
        <f>Z69*(1-('1_Assumptions'!$E$19+$B69))</f>
        <v/>
      </c>
      <c r="AB69" s="39">
        <f>Z69-AA69-Z69*$B$11+Z69*$B$12</f>
        <v/>
      </c>
      <c r="AC69" s="39">
        <f>T69*$B$13</f>
        <v/>
      </c>
      <c r="AD69" s="39">
        <f>Z69*'1_Assumptions'!$E$25</f>
        <v/>
      </c>
      <c r="AE69" s="39">
        <f>T69+AD69-AC69</f>
        <v/>
      </c>
      <c r="AF69" s="39">
        <f>Z69*$B$14</f>
        <v/>
      </c>
      <c r="AG69" s="39">
        <f>V69-AF69</f>
        <v/>
      </c>
      <c r="AH69" s="39">
        <f>W69+Z69*$B$16-W69/$B$18</f>
        <v/>
      </c>
      <c r="AI69" s="39">
        <f>Z69*'1_Assumptions'!$B$56/365+AA69*'1_Assumptions'!$B$57/365+Z69*'1_Assumptions'!$B$54-AA69*'1_Assumptions'!$B$58/365-Z69*'1_Assumptions'!$B$55</f>
        <v/>
      </c>
      <c r="AJ69" s="39">
        <f>AB69*(1-$B$15)+AC69+AF69+IF($B$19=1,Z69*'1_Assumptions'!$E$31,0)-AD69-(AI69-X69)</f>
        <v/>
      </c>
      <c r="AK69" s="39">
        <f>Z69*(1+'1_Assumptions'!$E$14)</f>
        <v/>
      </c>
      <c r="AL69" s="39">
        <f>AK69*(1-('1_Assumptions'!$E$20+$B69))</f>
        <v/>
      </c>
      <c r="AM69" s="39">
        <f>AK69-AL69-AK69*$B$11+AK69*$B$12</f>
        <v/>
      </c>
      <c r="AN69" s="39">
        <f>AE69*$B$13</f>
        <v/>
      </c>
      <c r="AO69" s="39">
        <f>AK69*'1_Assumptions'!$E$26</f>
        <v/>
      </c>
      <c r="AP69" s="39">
        <f>AE69+AO69-AN69</f>
        <v/>
      </c>
      <c r="AQ69" s="39">
        <f>AK69*$B$14</f>
        <v/>
      </c>
      <c r="AR69" s="39">
        <f>AG69-AQ69</f>
        <v/>
      </c>
      <c r="AS69" s="39">
        <f>AH69+AK69*$B$16-AH69/$B$18</f>
        <v/>
      </c>
      <c r="AT69" s="39">
        <f>AK69*'1_Assumptions'!$B$56/365+AL69*'1_Assumptions'!$B$57/365+AK69*'1_Assumptions'!$B$54-AL69*'1_Assumptions'!$B$58/365-AK69*'1_Assumptions'!$B$55</f>
        <v/>
      </c>
      <c r="AU69" s="39">
        <f>AM69*(1-$B$15)+AN69+AQ69+IF($B$19=1,AK69*'1_Assumptions'!$E$32,0)-AO69-(AT69-AI69)</f>
        <v/>
      </c>
      <c r="AV69" s="39">
        <f>AK69*(1+'1_Assumptions'!$E$15)</f>
        <v/>
      </c>
      <c r="AW69" s="39">
        <f>AV69*(1-('1_Assumptions'!$E$21+$B69))</f>
        <v/>
      </c>
      <c r="AX69" s="39">
        <f>AV69-AW69-AV69*$B$11+AV69*$B$12</f>
        <v/>
      </c>
      <c r="AY69" s="39">
        <f>AP69*$B$13</f>
        <v/>
      </c>
      <c r="AZ69" s="39">
        <f>AV69*'1_Assumptions'!$E$27</f>
        <v/>
      </c>
      <c r="BA69" s="39">
        <f>AP69+AZ69-AY69</f>
        <v/>
      </c>
      <c r="BB69" s="39">
        <f>AV69*$B$14</f>
        <v/>
      </c>
      <c r="BC69" s="39">
        <f>AR69-BB69</f>
        <v/>
      </c>
      <c r="BD69" s="39">
        <f>AS69+AV69*$B$16-AS69/$B$18</f>
        <v/>
      </c>
      <c r="BE69" s="39">
        <f>AV69*'1_Assumptions'!$B$56/365+AW69*'1_Assumptions'!$B$57/365+AV69*'1_Assumptions'!$B$54-AW69*'1_Assumptions'!$B$58/365-AV69*'1_Assumptions'!$B$55</f>
        <v/>
      </c>
      <c r="BF69" s="39">
        <f>AX69*(1-$B$15)+AY69+BB69+IF($B$19=1,AV69*'1_Assumptions'!$E$33,0)-AZ69-(BE69-AT69)</f>
        <v/>
      </c>
      <c r="BG69" s="39">
        <f>N69/(1+$B$21)^(1-0.5*$B$23)+Y69/(1+$B$21)^(2-0.5*$B$23)+AJ69/(1+$B$21)^(3-0.5*$B$23)+AU69/(1+$B$21)^(4-0.5*$B$23)+BF69/(1+$B$21)^(5-0.5*$B$23)</f>
        <v/>
      </c>
      <c r="BH69" s="39">
        <f>BE69+BA69+BC69+$B$9+IF($B$17=1,BD69,0)</f>
        <v/>
      </c>
      <c r="BI69" s="19">
        <f>IF($B$32=2,$B$21+$B$33,IF(BH69=0,0,BL69/BH69))</f>
        <v/>
      </c>
      <c r="BJ69" s="19">
        <f>IF(BI69=0,9,$C69/BI69)</f>
        <v/>
      </c>
      <c r="BK69" s="55">
        <f>IF(OR(BH69&lt;=0,BI69&lt;=$B$21,BJ69&gt;=1,BJ69&lt;0),1,0)</f>
        <v/>
      </c>
      <c r="BL69" s="39">
        <f>AX69*(1-$B$20)</f>
        <v/>
      </c>
      <c r="BM69" s="39">
        <f>IF(BK69=1,BL69,AX69*(1+$C69)*(1-$B$20)*(1-BJ69))</f>
        <v/>
      </c>
      <c r="BN69" s="39">
        <f>IF(BK69=1,BL69/$B$21,BM69/($B$21-$C69))</f>
        <v/>
      </c>
      <c r="BO69" s="39">
        <f>BN69/(1+$B$21)^(5-0.5*$B$23)</f>
        <v/>
      </c>
      <c r="BP69" s="39">
        <f>BG69+BO69</f>
        <v/>
      </c>
      <c r="BQ69" s="39">
        <f>BP69*(1+$B$21)^$B$24-N69*$B$24*(1+$B$21)^($B$24/2)</f>
        <v/>
      </c>
      <c r="BR69" s="39">
        <f>BQ69-$B$25+$B$26+$B$27</f>
        <v/>
      </c>
      <c r="BS69" s="39">
        <f>IF($B$28=1,$B$30,BR69*$B$29)</f>
        <v/>
      </c>
      <c r="BT69" s="39">
        <f>BR69-BS69</f>
        <v/>
      </c>
      <c r="BU69" s="58">
        <f>BT69/$B$31</f>
        <v/>
      </c>
    </row>
    <row r="70">
      <c r="A70" s="17" t="inlineStr">
        <is>
          <t>1-4</t>
        </is>
      </c>
      <c r="B70" s="26" t="n">
        <v>-0.04</v>
      </c>
      <c r="C70" s="26" t="n">
        <v>0.0325</v>
      </c>
      <c r="D70" s="39">
        <f>$B$5*(1+'1_Assumptions'!$E$11)</f>
        <v/>
      </c>
      <c r="E70" s="39">
        <f>D70*(1-('1_Assumptions'!$E$17+IF('1_Assumptions'!$B$39=1,0,$B70)))</f>
        <v/>
      </c>
      <c r="F70" s="39">
        <f>D70-E70-D70*$B$11+D70*$B$12</f>
        <v/>
      </c>
      <c r="G70" s="39">
        <f>$B$6*$B$13</f>
        <v/>
      </c>
      <c r="H70" s="39">
        <f>D70*'1_Assumptions'!$E$23</f>
        <v/>
      </c>
      <c r="I70" s="39">
        <f>$B$6+H70-G70</f>
        <v/>
      </c>
      <c r="J70" s="39">
        <f>D70*$B$14</f>
        <v/>
      </c>
      <c r="K70" s="39">
        <f>$B$7-J70</f>
        <v/>
      </c>
      <c r="L70" s="39">
        <f>$B$8+D70*$B$16-$B$8/$B$18</f>
        <v/>
      </c>
      <c r="M70" s="39">
        <f>D70*'1_Assumptions'!$B$56/365+E70*'1_Assumptions'!$B$57/365+D70*'1_Assumptions'!$B$54-E70*'1_Assumptions'!$B$58/365-D70*'1_Assumptions'!$B$55</f>
        <v/>
      </c>
      <c r="N70" s="39">
        <f>F70*(1-$B$15)+G70+J70+IF($B$19=1,D70*'1_Assumptions'!$E$29,0)-H70-(M70-$B$10)</f>
        <v/>
      </c>
      <c r="O70" s="39">
        <f>D70*(1+'1_Assumptions'!$E$12)</f>
        <v/>
      </c>
      <c r="P70" s="39">
        <f>O70*(1-('1_Assumptions'!$E$18+$B70))</f>
        <v/>
      </c>
      <c r="Q70" s="39">
        <f>O70-P70-O70*$B$11+O70*$B$12</f>
        <v/>
      </c>
      <c r="R70" s="39">
        <f>I70*$B$13</f>
        <v/>
      </c>
      <c r="S70" s="39">
        <f>O70*'1_Assumptions'!$E$24</f>
        <v/>
      </c>
      <c r="T70" s="39">
        <f>I70+S70-R70</f>
        <v/>
      </c>
      <c r="U70" s="39">
        <f>O70*$B$14</f>
        <v/>
      </c>
      <c r="V70" s="39">
        <f>K70-U70</f>
        <v/>
      </c>
      <c r="W70" s="39">
        <f>L70+O70*$B$16-L70/$B$18</f>
        <v/>
      </c>
      <c r="X70" s="39">
        <f>O70*'1_Assumptions'!$B$56/365+P70*'1_Assumptions'!$B$57/365+O70*'1_Assumptions'!$B$54-P70*'1_Assumptions'!$B$58/365-O70*'1_Assumptions'!$B$55</f>
        <v/>
      </c>
      <c r="Y70" s="39">
        <f>Q70*(1-$B$15)+R70+U70+IF($B$19=1,O70*'1_Assumptions'!$E$30,0)-S70-(X70-M70)</f>
        <v/>
      </c>
      <c r="Z70" s="39">
        <f>O70*(1+'1_Assumptions'!$E$13)</f>
        <v/>
      </c>
      <c r="AA70" s="39">
        <f>Z70*(1-('1_Assumptions'!$E$19+$B70))</f>
        <v/>
      </c>
      <c r="AB70" s="39">
        <f>Z70-AA70-Z70*$B$11+Z70*$B$12</f>
        <v/>
      </c>
      <c r="AC70" s="39">
        <f>T70*$B$13</f>
        <v/>
      </c>
      <c r="AD70" s="39">
        <f>Z70*'1_Assumptions'!$E$25</f>
        <v/>
      </c>
      <c r="AE70" s="39">
        <f>T70+AD70-AC70</f>
        <v/>
      </c>
      <c r="AF70" s="39">
        <f>Z70*$B$14</f>
        <v/>
      </c>
      <c r="AG70" s="39">
        <f>V70-AF70</f>
        <v/>
      </c>
      <c r="AH70" s="39">
        <f>W70+Z70*$B$16-W70/$B$18</f>
        <v/>
      </c>
      <c r="AI70" s="39">
        <f>Z70*'1_Assumptions'!$B$56/365+AA70*'1_Assumptions'!$B$57/365+Z70*'1_Assumptions'!$B$54-AA70*'1_Assumptions'!$B$58/365-Z70*'1_Assumptions'!$B$55</f>
        <v/>
      </c>
      <c r="AJ70" s="39">
        <f>AB70*(1-$B$15)+AC70+AF70+IF($B$19=1,Z70*'1_Assumptions'!$E$31,0)-AD70-(AI70-X70)</f>
        <v/>
      </c>
      <c r="AK70" s="39">
        <f>Z70*(1+'1_Assumptions'!$E$14)</f>
        <v/>
      </c>
      <c r="AL70" s="39">
        <f>AK70*(1-('1_Assumptions'!$E$20+$B70))</f>
        <v/>
      </c>
      <c r="AM70" s="39">
        <f>AK70-AL70-AK70*$B$11+AK70*$B$12</f>
        <v/>
      </c>
      <c r="AN70" s="39">
        <f>AE70*$B$13</f>
        <v/>
      </c>
      <c r="AO70" s="39">
        <f>AK70*'1_Assumptions'!$E$26</f>
        <v/>
      </c>
      <c r="AP70" s="39">
        <f>AE70+AO70-AN70</f>
        <v/>
      </c>
      <c r="AQ70" s="39">
        <f>AK70*$B$14</f>
        <v/>
      </c>
      <c r="AR70" s="39">
        <f>AG70-AQ70</f>
        <v/>
      </c>
      <c r="AS70" s="39">
        <f>AH70+AK70*$B$16-AH70/$B$18</f>
        <v/>
      </c>
      <c r="AT70" s="39">
        <f>AK70*'1_Assumptions'!$B$56/365+AL70*'1_Assumptions'!$B$57/365+AK70*'1_Assumptions'!$B$54-AL70*'1_Assumptions'!$B$58/365-AK70*'1_Assumptions'!$B$55</f>
        <v/>
      </c>
      <c r="AU70" s="39">
        <f>AM70*(1-$B$15)+AN70+AQ70+IF($B$19=1,AK70*'1_Assumptions'!$E$32,0)-AO70-(AT70-AI70)</f>
        <v/>
      </c>
      <c r="AV70" s="39">
        <f>AK70*(1+'1_Assumptions'!$E$15)</f>
        <v/>
      </c>
      <c r="AW70" s="39">
        <f>AV70*(1-('1_Assumptions'!$E$21+$B70))</f>
        <v/>
      </c>
      <c r="AX70" s="39">
        <f>AV70-AW70-AV70*$B$11+AV70*$B$12</f>
        <v/>
      </c>
      <c r="AY70" s="39">
        <f>AP70*$B$13</f>
        <v/>
      </c>
      <c r="AZ70" s="39">
        <f>AV70*'1_Assumptions'!$E$27</f>
        <v/>
      </c>
      <c r="BA70" s="39">
        <f>AP70+AZ70-AY70</f>
        <v/>
      </c>
      <c r="BB70" s="39">
        <f>AV70*$B$14</f>
        <v/>
      </c>
      <c r="BC70" s="39">
        <f>AR70-BB70</f>
        <v/>
      </c>
      <c r="BD70" s="39">
        <f>AS70+AV70*$B$16-AS70/$B$18</f>
        <v/>
      </c>
      <c r="BE70" s="39">
        <f>AV70*'1_Assumptions'!$B$56/365+AW70*'1_Assumptions'!$B$57/365+AV70*'1_Assumptions'!$B$54-AW70*'1_Assumptions'!$B$58/365-AV70*'1_Assumptions'!$B$55</f>
        <v/>
      </c>
      <c r="BF70" s="39">
        <f>AX70*(1-$B$15)+AY70+BB70+IF($B$19=1,AV70*'1_Assumptions'!$E$33,0)-AZ70-(BE70-AT70)</f>
        <v/>
      </c>
      <c r="BG70" s="39">
        <f>N70/(1+$B$21)^(1-0.5*$B$23)+Y70/(1+$B$21)^(2-0.5*$B$23)+AJ70/(1+$B$21)^(3-0.5*$B$23)+AU70/(1+$B$21)^(4-0.5*$B$23)+BF70/(1+$B$21)^(5-0.5*$B$23)</f>
        <v/>
      </c>
      <c r="BH70" s="39">
        <f>BE70+BA70+BC70+$B$9+IF($B$17=1,BD70,0)</f>
        <v/>
      </c>
      <c r="BI70" s="19">
        <f>IF($B$32=2,$B$21+$B$33,IF(BH70=0,0,BL70/BH70))</f>
        <v/>
      </c>
      <c r="BJ70" s="19">
        <f>IF(BI70=0,9,$C70/BI70)</f>
        <v/>
      </c>
      <c r="BK70" s="55">
        <f>IF(OR(BH70&lt;=0,BI70&lt;=$B$21,BJ70&gt;=1,BJ70&lt;0),1,0)</f>
        <v/>
      </c>
      <c r="BL70" s="39">
        <f>AX70*(1-$B$20)</f>
        <v/>
      </c>
      <c r="BM70" s="39">
        <f>IF(BK70=1,BL70,AX70*(1+$C70)*(1-$B$20)*(1-BJ70))</f>
        <v/>
      </c>
      <c r="BN70" s="39">
        <f>IF(BK70=1,BL70/$B$21,BM70/($B$21-$C70))</f>
        <v/>
      </c>
      <c r="BO70" s="39">
        <f>BN70/(1+$B$21)^(5-0.5*$B$23)</f>
        <v/>
      </c>
      <c r="BP70" s="39">
        <f>BG70+BO70</f>
        <v/>
      </c>
      <c r="BQ70" s="39">
        <f>BP70*(1+$B$21)^$B$24-N70*$B$24*(1+$B$21)^($B$24/2)</f>
        <v/>
      </c>
      <c r="BR70" s="39">
        <f>BQ70-$B$25+$B$26+$B$27</f>
        <v/>
      </c>
      <c r="BS70" s="39">
        <f>IF($B$28=1,$B$30,BR70*$B$29)</f>
        <v/>
      </c>
      <c r="BT70" s="39">
        <f>BR70-BS70</f>
        <v/>
      </c>
      <c r="BU70" s="58">
        <f>BT70/$B$31</f>
        <v/>
      </c>
    </row>
    <row r="71">
      <c r="A71" s="17" t="inlineStr">
        <is>
          <t>1-5</t>
        </is>
      </c>
      <c r="B71" s="26" t="n">
        <v>-0.04</v>
      </c>
      <c r="C71" s="26" t="n">
        <v>0.04</v>
      </c>
      <c r="D71" s="39">
        <f>$B$5*(1+'1_Assumptions'!$E$11)</f>
        <v/>
      </c>
      <c r="E71" s="39">
        <f>D71*(1-('1_Assumptions'!$E$17+IF('1_Assumptions'!$B$39=1,0,$B71)))</f>
        <v/>
      </c>
      <c r="F71" s="39">
        <f>D71-E71-D71*$B$11+D71*$B$12</f>
        <v/>
      </c>
      <c r="G71" s="39">
        <f>$B$6*$B$13</f>
        <v/>
      </c>
      <c r="H71" s="39">
        <f>D71*'1_Assumptions'!$E$23</f>
        <v/>
      </c>
      <c r="I71" s="39">
        <f>$B$6+H71-G71</f>
        <v/>
      </c>
      <c r="J71" s="39">
        <f>D71*$B$14</f>
        <v/>
      </c>
      <c r="K71" s="39">
        <f>$B$7-J71</f>
        <v/>
      </c>
      <c r="L71" s="39">
        <f>$B$8+D71*$B$16-$B$8/$B$18</f>
        <v/>
      </c>
      <c r="M71" s="39">
        <f>D71*'1_Assumptions'!$B$56/365+E71*'1_Assumptions'!$B$57/365+D71*'1_Assumptions'!$B$54-E71*'1_Assumptions'!$B$58/365-D71*'1_Assumptions'!$B$55</f>
        <v/>
      </c>
      <c r="N71" s="39">
        <f>F71*(1-$B$15)+G71+J71+IF($B$19=1,D71*'1_Assumptions'!$E$29,0)-H71-(M71-$B$10)</f>
        <v/>
      </c>
      <c r="O71" s="39">
        <f>D71*(1+'1_Assumptions'!$E$12)</f>
        <v/>
      </c>
      <c r="P71" s="39">
        <f>O71*(1-('1_Assumptions'!$E$18+$B71))</f>
        <v/>
      </c>
      <c r="Q71" s="39">
        <f>O71-P71-O71*$B$11+O71*$B$12</f>
        <v/>
      </c>
      <c r="R71" s="39">
        <f>I71*$B$13</f>
        <v/>
      </c>
      <c r="S71" s="39">
        <f>O71*'1_Assumptions'!$E$24</f>
        <v/>
      </c>
      <c r="T71" s="39">
        <f>I71+S71-R71</f>
        <v/>
      </c>
      <c r="U71" s="39">
        <f>O71*$B$14</f>
        <v/>
      </c>
      <c r="V71" s="39">
        <f>K71-U71</f>
        <v/>
      </c>
      <c r="W71" s="39">
        <f>L71+O71*$B$16-L71/$B$18</f>
        <v/>
      </c>
      <c r="X71" s="39">
        <f>O71*'1_Assumptions'!$B$56/365+P71*'1_Assumptions'!$B$57/365+O71*'1_Assumptions'!$B$54-P71*'1_Assumptions'!$B$58/365-O71*'1_Assumptions'!$B$55</f>
        <v/>
      </c>
      <c r="Y71" s="39">
        <f>Q71*(1-$B$15)+R71+U71+IF($B$19=1,O71*'1_Assumptions'!$E$30,0)-S71-(X71-M71)</f>
        <v/>
      </c>
      <c r="Z71" s="39">
        <f>O71*(1+'1_Assumptions'!$E$13)</f>
        <v/>
      </c>
      <c r="AA71" s="39">
        <f>Z71*(1-('1_Assumptions'!$E$19+$B71))</f>
        <v/>
      </c>
      <c r="AB71" s="39">
        <f>Z71-AA71-Z71*$B$11+Z71*$B$12</f>
        <v/>
      </c>
      <c r="AC71" s="39">
        <f>T71*$B$13</f>
        <v/>
      </c>
      <c r="AD71" s="39">
        <f>Z71*'1_Assumptions'!$E$25</f>
        <v/>
      </c>
      <c r="AE71" s="39">
        <f>T71+AD71-AC71</f>
        <v/>
      </c>
      <c r="AF71" s="39">
        <f>Z71*$B$14</f>
        <v/>
      </c>
      <c r="AG71" s="39">
        <f>V71-AF71</f>
        <v/>
      </c>
      <c r="AH71" s="39">
        <f>W71+Z71*$B$16-W71/$B$18</f>
        <v/>
      </c>
      <c r="AI71" s="39">
        <f>Z71*'1_Assumptions'!$B$56/365+AA71*'1_Assumptions'!$B$57/365+Z71*'1_Assumptions'!$B$54-AA71*'1_Assumptions'!$B$58/365-Z71*'1_Assumptions'!$B$55</f>
        <v/>
      </c>
      <c r="AJ71" s="39">
        <f>AB71*(1-$B$15)+AC71+AF71+IF($B$19=1,Z71*'1_Assumptions'!$E$31,0)-AD71-(AI71-X71)</f>
        <v/>
      </c>
      <c r="AK71" s="39">
        <f>Z71*(1+'1_Assumptions'!$E$14)</f>
        <v/>
      </c>
      <c r="AL71" s="39">
        <f>AK71*(1-('1_Assumptions'!$E$20+$B71))</f>
        <v/>
      </c>
      <c r="AM71" s="39">
        <f>AK71-AL71-AK71*$B$11+AK71*$B$12</f>
        <v/>
      </c>
      <c r="AN71" s="39">
        <f>AE71*$B$13</f>
        <v/>
      </c>
      <c r="AO71" s="39">
        <f>AK71*'1_Assumptions'!$E$26</f>
        <v/>
      </c>
      <c r="AP71" s="39">
        <f>AE71+AO71-AN71</f>
        <v/>
      </c>
      <c r="AQ71" s="39">
        <f>AK71*$B$14</f>
        <v/>
      </c>
      <c r="AR71" s="39">
        <f>AG71-AQ71</f>
        <v/>
      </c>
      <c r="AS71" s="39">
        <f>AH71+AK71*$B$16-AH71/$B$18</f>
        <v/>
      </c>
      <c r="AT71" s="39">
        <f>AK71*'1_Assumptions'!$B$56/365+AL71*'1_Assumptions'!$B$57/365+AK71*'1_Assumptions'!$B$54-AL71*'1_Assumptions'!$B$58/365-AK71*'1_Assumptions'!$B$55</f>
        <v/>
      </c>
      <c r="AU71" s="39">
        <f>AM71*(1-$B$15)+AN71+AQ71+IF($B$19=1,AK71*'1_Assumptions'!$E$32,0)-AO71-(AT71-AI71)</f>
        <v/>
      </c>
      <c r="AV71" s="39">
        <f>AK71*(1+'1_Assumptions'!$E$15)</f>
        <v/>
      </c>
      <c r="AW71" s="39">
        <f>AV71*(1-('1_Assumptions'!$E$21+$B71))</f>
        <v/>
      </c>
      <c r="AX71" s="39">
        <f>AV71-AW71-AV71*$B$11+AV71*$B$12</f>
        <v/>
      </c>
      <c r="AY71" s="39">
        <f>AP71*$B$13</f>
        <v/>
      </c>
      <c r="AZ71" s="39">
        <f>AV71*'1_Assumptions'!$E$27</f>
        <v/>
      </c>
      <c r="BA71" s="39">
        <f>AP71+AZ71-AY71</f>
        <v/>
      </c>
      <c r="BB71" s="39">
        <f>AV71*$B$14</f>
        <v/>
      </c>
      <c r="BC71" s="39">
        <f>AR71-BB71</f>
        <v/>
      </c>
      <c r="BD71" s="39">
        <f>AS71+AV71*$B$16-AS71/$B$18</f>
        <v/>
      </c>
      <c r="BE71" s="39">
        <f>AV71*'1_Assumptions'!$B$56/365+AW71*'1_Assumptions'!$B$57/365+AV71*'1_Assumptions'!$B$54-AW71*'1_Assumptions'!$B$58/365-AV71*'1_Assumptions'!$B$55</f>
        <v/>
      </c>
      <c r="BF71" s="39">
        <f>AX71*(1-$B$15)+AY71+BB71+IF($B$19=1,AV71*'1_Assumptions'!$E$33,0)-AZ71-(BE71-AT71)</f>
        <v/>
      </c>
      <c r="BG71" s="39">
        <f>N71/(1+$B$21)^(1-0.5*$B$23)+Y71/(1+$B$21)^(2-0.5*$B$23)+AJ71/(1+$B$21)^(3-0.5*$B$23)+AU71/(1+$B$21)^(4-0.5*$B$23)+BF71/(1+$B$21)^(5-0.5*$B$23)</f>
        <v/>
      </c>
      <c r="BH71" s="39">
        <f>BE71+BA71+BC71+$B$9+IF($B$17=1,BD71,0)</f>
        <v/>
      </c>
      <c r="BI71" s="19">
        <f>IF($B$32=2,$B$21+$B$33,IF(BH71=0,0,BL71/BH71))</f>
        <v/>
      </c>
      <c r="BJ71" s="19">
        <f>IF(BI71=0,9,$C71/BI71)</f>
        <v/>
      </c>
      <c r="BK71" s="55">
        <f>IF(OR(BH71&lt;=0,BI71&lt;=$B$21,BJ71&gt;=1,BJ71&lt;0),1,0)</f>
        <v/>
      </c>
      <c r="BL71" s="39">
        <f>AX71*(1-$B$20)</f>
        <v/>
      </c>
      <c r="BM71" s="39">
        <f>IF(BK71=1,BL71,AX71*(1+$C71)*(1-$B$20)*(1-BJ71))</f>
        <v/>
      </c>
      <c r="BN71" s="39">
        <f>IF(BK71=1,BL71/$B$21,BM71/($B$21-$C71))</f>
        <v/>
      </c>
      <c r="BO71" s="39">
        <f>BN71/(1+$B$21)^(5-0.5*$B$23)</f>
        <v/>
      </c>
      <c r="BP71" s="39">
        <f>BG71+BO71</f>
        <v/>
      </c>
      <c r="BQ71" s="39">
        <f>BP71*(1+$B$21)^$B$24-N71*$B$24*(1+$B$21)^($B$24/2)</f>
        <v/>
      </c>
      <c r="BR71" s="39">
        <f>BQ71-$B$25+$B$26+$B$27</f>
        <v/>
      </c>
      <c r="BS71" s="39">
        <f>IF($B$28=1,$B$30,BR71*$B$29)</f>
        <v/>
      </c>
      <c r="BT71" s="39">
        <f>BR71-BS71</f>
        <v/>
      </c>
      <c r="BU71" s="58">
        <f>BT71/$B$31</f>
        <v/>
      </c>
    </row>
    <row r="72">
      <c r="A72" s="17" t="inlineStr">
        <is>
          <t>2-1</t>
        </is>
      </c>
      <c r="B72" s="26" t="n">
        <v>-0.02</v>
      </c>
      <c r="C72" s="26" t="n">
        <v>0.01</v>
      </c>
      <c r="D72" s="39">
        <f>$B$5*(1+'1_Assumptions'!$E$11)</f>
        <v/>
      </c>
      <c r="E72" s="39">
        <f>D72*(1-('1_Assumptions'!$E$17+IF('1_Assumptions'!$B$39=1,0,$B72)))</f>
        <v/>
      </c>
      <c r="F72" s="39">
        <f>D72-E72-D72*$B$11+D72*$B$12</f>
        <v/>
      </c>
      <c r="G72" s="39">
        <f>$B$6*$B$13</f>
        <v/>
      </c>
      <c r="H72" s="39">
        <f>D72*'1_Assumptions'!$E$23</f>
        <v/>
      </c>
      <c r="I72" s="39">
        <f>$B$6+H72-G72</f>
        <v/>
      </c>
      <c r="J72" s="39">
        <f>D72*$B$14</f>
        <v/>
      </c>
      <c r="K72" s="39">
        <f>$B$7-J72</f>
        <v/>
      </c>
      <c r="L72" s="39">
        <f>$B$8+D72*$B$16-$B$8/$B$18</f>
        <v/>
      </c>
      <c r="M72" s="39">
        <f>D72*'1_Assumptions'!$B$56/365+E72*'1_Assumptions'!$B$57/365+D72*'1_Assumptions'!$B$54-E72*'1_Assumptions'!$B$58/365-D72*'1_Assumptions'!$B$55</f>
        <v/>
      </c>
      <c r="N72" s="39">
        <f>F72*(1-$B$15)+G72+J72+IF($B$19=1,D72*'1_Assumptions'!$E$29,0)-H72-(M72-$B$10)</f>
        <v/>
      </c>
      <c r="O72" s="39">
        <f>D72*(1+'1_Assumptions'!$E$12)</f>
        <v/>
      </c>
      <c r="P72" s="39">
        <f>O72*(1-('1_Assumptions'!$E$18+$B72))</f>
        <v/>
      </c>
      <c r="Q72" s="39">
        <f>O72-P72-O72*$B$11+O72*$B$12</f>
        <v/>
      </c>
      <c r="R72" s="39">
        <f>I72*$B$13</f>
        <v/>
      </c>
      <c r="S72" s="39">
        <f>O72*'1_Assumptions'!$E$24</f>
        <v/>
      </c>
      <c r="T72" s="39">
        <f>I72+S72-R72</f>
        <v/>
      </c>
      <c r="U72" s="39">
        <f>O72*$B$14</f>
        <v/>
      </c>
      <c r="V72" s="39">
        <f>K72-U72</f>
        <v/>
      </c>
      <c r="W72" s="39">
        <f>L72+O72*$B$16-L72/$B$18</f>
        <v/>
      </c>
      <c r="X72" s="39">
        <f>O72*'1_Assumptions'!$B$56/365+P72*'1_Assumptions'!$B$57/365+O72*'1_Assumptions'!$B$54-P72*'1_Assumptions'!$B$58/365-O72*'1_Assumptions'!$B$55</f>
        <v/>
      </c>
      <c r="Y72" s="39">
        <f>Q72*(1-$B$15)+R72+U72+IF($B$19=1,O72*'1_Assumptions'!$E$30,0)-S72-(X72-M72)</f>
        <v/>
      </c>
      <c r="Z72" s="39">
        <f>O72*(1+'1_Assumptions'!$E$13)</f>
        <v/>
      </c>
      <c r="AA72" s="39">
        <f>Z72*(1-('1_Assumptions'!$E$19+$B72))</f>
        <v/>
      </c>
      <c r="AB72" s="39">
        <f>Z72-AA72-Z72*$B$11+Z72*$B$12</f>
        <v/>
      </c>
      <c r="AC72" s="39">
        <f>T72*$B$13</f>
        <v/>
      </c>
      <c r="AD72" s="39">
        <f>Z72*'1_Assumptions'!$E$25</f>
        <v/>
      </c>
      <c r="AE72" s="39">
        <f>T72+AD72-AC72</f>
        <v/>
      </c>
      <c r="AF72" s="39">
        <f>Z72*$B$14</f>
        <v/>
      </c>
      <c r="AG72" s="39">
        <f>V72-AF72</f>
        <v/>
      </c>
      <c r="AH72" s="39">
        <f>W72+Z72*$B$16-W72/$B$18</f>
        <v/>
      </c>
      <c r="AI72" s="39">
        <f>Z72*'1_Assumptions'!$B$56/365+AA72*'1_Assumptions'!$B$57/365+Z72*'1_Assumptions'!$B$54-AA72*'1_Assumptions'!$B$58/365-Z72*'1_Assumptions'!$B$55</f>
        <v/>
      </c>
      <c r="AJ72" s="39">
        <f>AB72*(1-$B$15)+AC72+AF72+IF($B$19=1,Z72*'1_Assumptions'!$E$31,0)-AD72-(AI72-X72)</f>
        <v/>
      </c>
      <c r="AK72" s="39">
        <f>Z72*(1+'1_Assumptions'!$E$14)</f>
        <v/>
      </c>
      <c r="AL72" s="39">
        <f>AK72*(1-('1_Assumptions'!$E$20+$B72))</f>
        <v/>
      </c>
      <c r="AM72" s="39">
        <f>AK72-AL72-AK72*$B$11+AK72*$B$12</f>
        <v/>
      </c>
      <c r="AN72" s="39">
        <f>AE72*$B$13</f>
        <v/>
      </c>
      <c r="AO72" s="39">
        <f>AK72*'1_Assumptions'!$E$26</f>
        <v/>
      </c>
      <c r="AP72" s="39">
        <f>AE72+AO72-AN72</f>
        <v/>
      </c>
      <c r="AQ72" s="39">
        <f>AK72*$B$14</f>
        <v/>
      </c>
      <c r="AR72" s="39">
        <f>AG72-AQ72</f>
        <v/>
      </c>
      <c r="AS72" s="39">
        <f>AH72+AK72*$B$16-AH72/$B$18</f>
        <v/>
      </c>
      <c r="AT72" s="39">
        <f>AK72*'1_Assumptions'!$B$56/365+AL72*'1_Assumptions'!$B$57/365+AK72*'1_Assumptions'!$B$54-AL72*'1_Assumptions'!$B$58/365-AK72*'1_Assumptions'!$B$55</f>
        <v/>
      </c>
      <c r="AU72" s="39">
        <f>AM72*(1-$B$15)+AN72+AQ72+IF($B$19=1,AK72*'1_Assumptions'!$E$32,0)-AO72-(AT72-AI72)</f>
        <v/>
      </c>
      <c r="AV72" s="39">
        <f>AK72*(1+'1_Assumptions'!$E$15)</f>
        <v/>
      </c>
      <c r="AW72" s="39">
        <f>AV72*(1-('1_Assumptions'!$E$21+$B72))</f>
        <v/>
      </c>
      <c r="AX72" s="39">
        <f>AV72-AW72-AV72*$B$11+AV72*$B$12</f>
        <v/>
      </c>
      <c r="AY72" s="39">
        <f>AP72*$B$13</f>
        <v/>
      </c>
      <c r="AZ72" s="39">
        <f>AV72*'1_Assumptions'!$E$27</f>
        <v/>
      </c>
      <c r="BA72" s="39">
        <f>AP72+AZ72-AY72</f>
        <v/>
      </c>
      <c r="BB72" s="39">
        <f>AV72*$B$14</f>
        <v/>
      </c>
      <c r="BC72" s="39">
        <f>AR72-BB72</f>
        <v/>
      </c>
      <c r="BD72" s="39">
        <f>AS72+AV72*$B$16-AS72/$B$18</f>
        <v/>
      </c>
      <c r="BE72" s="39">
        <f>AV72*'1_Assumptions'!$B$56/365+AW72*'1_Assumptions'!$B$57/365+AV72*'1_Assumptions'!$B$54-AW72*'1_Assumptions'!$B$58/365-AV72*'1_Assumptions'!$B$55</f>
        <v/>
      </c>
      <c r="BF72" s="39">
        <f>AX72*(1-$B$15)+AY72+BB72+IF($B$19=1,AV72*'1_Assumptions'!$E$33,0)-AZ72-(BE72-AT72)</f>
        <v/>
      </c>
      <c r="BG72" s="39">
        <f>N72/(1+$B$21)^(1-0.5*$B$23)+Y72/(1+$B$21)^(2-0.5*$B$23)+AJ72/(1+$B$21)^(3-0.5*$B$23)+AU72/(1+$B$21)^(4-0.5*$B$23)+BF72/(1+$B$21)^(5-0.5*$B$23)</f>
        <v/>
      </c>
      <c r="BH72" s="39">
        <f>BE72+BA72+BC72+$B$9+IF($B$17=1,BD72,0)</f>
        <v/>
      </c>
      <c r="BI72" s="19">
        <f>IF($B$32=2,$B$21+$B$33,IF(BH72=0,0,BL72/BH72))</f>
        <v/>
      </c>
      <c r="BJ72" s="19">
        <f>IF(BI72=0,9,$C72/BI72)</f>
        <v/>
      </c>
      <c r="BK72" s="55">
        <f>IF(OR(BH72&lt;=0,BI72&lt;=$B$21,BJ72&gt;=1,BJ72&lt;0),1,0)</f>
        <v/>
      </c>
      <c r="BL72" s="39">
        <f>AX72*(1-$B$20)</f>
        <v/>
      </c>
      <c r="BM72" s="39">
        <f>IF(BK72=1,BL72,AX72*(1+$C72)*(1-$B$20)*(1-BJ72))</f>
        <v/>
      </c>
      <c r="BN72" s="39">
        <f>IF(BK72=1,BL72/$B$21,BM72/($B$21-$C72))</f>
        <v/>
      </c>
      <c r="BO72" s="39">
        <f>BN72/(1+$B$21)^(5-0.5*$B$23)</f>
        <v/>
      </c>
      <c r="BP72" s="39">
        <f>BG72+BO72</f>
        <v/>
      </c>
      <c r="BQ72" s="39">
        <f>BP72*(1+$B$21)^$B$24-N72*$B$24*(1+$B$21)^($B$24/2)</f>
        <v/>
      </c>
      <c r="BR72" s="39">
        <f>BQ72-$B$25+$B$26+$B$27</f>
        <v/>
      </c>
      <c r="BS72" s="39">
        <f>IF($B$28=1,$B$30,BR72*$B$29)</f>
        <v/>
      </c>
      <c r="BT72" s="39">
        <f>BR72-BS72</f>
        <v/>
      </c>
      <c r="BU72" s="58">
        <f>BT72/$B$31</f>
        <v/>
      </c>
    </row>
    <row r="73">
      <c r="A73" s="17" t="inlineStr">
        <is>
          <t>2-2</t>
        </is>
      </c>
      <c r="B73" s="26" t="n">
        <v>-0.02</v>
      </c>
      <c r="C73" s="26" t="n">
        <v>0.0175</v>
      </c>
      <c r="D73" s="39">
        <f>$B$5*(1+'1_Assumptions'!$E$11)</f>
        <v/>
      </c>
      <c r="E73" s="39">
        <f>D73*(1-('1_Assumptions'!$E$17+IF('1_Assumptions'!$B$39=1,0,$B73)))</f>
        <v/>
      </c>
      <c r="F73" s="39">
        <f>D73-E73-D73*$B$11+D73*$B$12</f>
        <v/>
      </c>
      <c r="G73" s="39">
        <f>$B$6*$B$13</f>
        <v/>
      </c>
      <c r="H73" s="39">
        <f>D73*'1_Assumptions'!$E$23</f>
        <v/>
      </c>
      <c r="I73" s="39">
        <f>$B$6+H73-G73</f>
        <v/>
      </c>
      <c r="J73" s="39">
        <f>D73*$B$14</f>
        <v/>
      </c>
      <c r="K73" s="39">
        <f>$B$7-J73</f>
        <v/>
      </c>
      <c r="L73" s="39">
        <f>$B$8+D73*$B$16-$B$8/$B$18</f>
        <v/>
      </c>
      <c r="M73" s="39">
        <f>D73*'1_Assumptions'!$B$56/365+E73*'1_Assumptions'!$B$57/365+D73*'1_Assumptions'!$B$54-E73*'1_Assumptions'!$B$58/365-D73*'1_Assumptions'!$B$55</f>
        <v/>
      </c>
      <c r="N73" s="39">
        <f>F73*(1-$B$15)+G73+J73+IF($B$19=1,D73*'1_Assumptions'!$E$29,0)-H73-(M73-$B$10)</f>
        <v/>
      </c>
      <c r="O73" s="39">
        <f>D73*(1+'1_Assumptions'!$E$12)</f>
        <v/>
      </c>
      <c r="P73" s="39">
        <f>O73*(1-('1_Assumptions'!$E$18+$B73))</f>
        <v/>
      </c>
      <c r="Q73" s="39">
        <f>O73-P73-O73*$B$11+O73*$B$12</f>
        <v/>
      </c>
      <c r="R73" s="39">
        <f>I73*$B$13</f>
        <v/>
      </c>
      <c r="S73" s="39">
        <f>O73*'1_Assumptions'!$E$24</f>
        <v/>
      </c>
      <c r="T73" s="39">
        <f>I73+S73-R73</f>
        <v/>
      </c>
      <c r="U73" s="39">
        <f>O73*$B$14</f>
        <v/>
      </c>
      <c r="V73" s="39">
        <f>K73-U73</f>
        <v/>
      </c>
      <c r="W73" s="39">
        <f>L73+O73*$B$16-L73/$B$18</f>
        <v/>
      </c>
      <c r="X73" s="39">
        <f>O73*'1_Assumptions'!$B$56/365+P73*'1_Assumptions'!$B$57/365+O73*'1_Assumptions'!$B$54-P73*'1_Assumptions'!$B$58/365-O73*'1_Assumptions'!$B$55</f>
        <v/>
      </c>
      <c r="Y73" s="39">
        <f>Q73*(1-$B$15)+R73+U73+IF($B$19=1,O73*'1_Assumptions'!$E$30,0)-S73-(X73-M73)</f>
        <v/>
      </c>
      <c r="Z73" s="39">
        <f>O73*(1+'1_Assumptions'!$E$13)</f>
        <v/>
      </c>
      <c r="AA73" s="39">
        <f>Z73*(1-('1_Assumptions'!$E$19+$B73))</f>
        <v/>
      </c>
      <c r="AB73" s="39">
        <f>Z73-AA73-Z73*$B$11+Z73*$B$12</f>
        <v/>
      </c>
      <c r="AC73" s="39">
        <f>T73*$B$13</f>
        <v/>
      </c>
      <c r="AD73" s="39">
        <f>Z73*'1_Assumptions'!$E$25</f>
        <v/>
      </c>
      <c r="AE73" s="39">
        <f>T73+AD73-AC73</f>
        <v/>
      </c>
      <c r="AF73" s="39">
        <f>Z73*$B$14</f>
        <v/>
      </c>
      <c r="AG73" s="39">
        <f>V73-AF73</f>
        <v/>
      </c>
      <c r="AH73" s="39">
        <f>W73+Z73*$B$16-W73/$B$18</f>
        <v/>
      </c>
      <c r="AI73" s="39">
        <f>Z73*'1_Assumptions'!$B$56/365+AA73*'1_Assumptions'!$B$57/365+Z73*'1_Assumptions'!$B$54-AA73*'1_Assumptions'!$B$58/365-Z73*'1_Assumptions'!$B$55</f>
        <v/>
      </c>
      <c r="AJ73" s="39">
        <f>AB73*(1-$B$15)+AC73+AF73+IF($B$19=1,Z73*'1_Assumptions'!$E$31,0)-AD73-(AI73-X73)</f>
        <v/>
      </c>
      <c r="AK73" s="39">
        <f>Z73*(1+'1_Assumptions'!$E$14)</f>
        <v/>
      </c>
      <c r="AL73" s="39">
        <f>AK73*(1-('1_Assumptions'!$E$20+$B73))</f>
        <v/>
      </c>
      <c r="AM73" s="39">
        <f>AK73-AL73-AK73*$B$11+AK73*$B$12</f>
        <v/>
      </c>
      <c r="AN73" s="39">
        <f>AE73*$B$13</f>
        <v/>
      </c>
      <c r="AO73" s="39">
        <f>AK73*'1_Assumptions'!$E$26</f>
        <v/>
      </c>
      <c r="AP73" s="39">
        <f>AE73+AO73-AN73</f>
        <v/>
      </c>
      <c r="AQ73" s="39">
        <f>AK73*$B$14</f>
        <v/>
      </c>
      <c r="AR73" s="39">
        <f>AG73-AQ73</f>
        <v/>
      </c>
      <c r="AS73" s="39">
        <f>AH73+AK73*$B$16-AH73/$B$18</f>
        <v/>
      </c>
      <c r="AT73" s="39">
        <f>AK73*'1_Assumptions'!$B$56/365+AL73*'1_Assumptions'!$B$57/365+AK73*'1_Assumptions'!$B$54-AL73*'1_Assumptions'!$B$58/365-AK73*'1_Assumptions'!$B$55</f>
        <v/>
      </c>
      <c r="AU73" s="39">
        <f>AM73*(1-$B$15)+AN73+AQ73+IF($B$19=1,AK73*'1_Assumptions'!$E$32,0)-AO73-(AT73-AI73)</f>
        <v/>
      </c>
      <c r="AV73" s="39">
        <f>AK73*(1+'1_Assumptions'!$E$15)</f>
        <v/>
      </c>
      <c r="AW73" s="39">
        <f>AV73*(1-('1_Assumptions'!$E$21+$B73))</f>
        <v/>
      </c>
      <c r="AX73" s="39">
        <f>AV73-AW73-AV73*$B$11+AV73*$B$12</f>
        <v/>
      </c>
      <c r="AY73" s="39">
        <f>AP73*$B$13</f>
        <v/>
      </c>
      <c r="AZ73" s="39">
        <f>AV73*'1_Assumptions'!$E$27</f>
        <v/>
      </c>
      <c r="BA73" s="39">
        <f>AP73+AZ73-AY73</f>
        <v/>
      </c>
      <c r="BB73" s="39">
        <f>AV73*$B$14</f>
        <v/>
      </c>
      <c r="BC73" s="39">
        <f>AR73-BB73</f>
        <v/>
      </c>
      <c r="BD73" s="39">
        <f>AS73+AV73*$B$16-AS73/$B$18</f>
        <v/>
      </c>
      <c r="BE73" s="39">
        <f>AV73*'1_Assumptions'!$B$56/365+AW73*'1_Assumptions'!$B$57/365+AV73*'1_Assumptions'!$B$54-AW73*'1_Assumptions'!$B$58/365-AV73*'1_Assumptions'!$B$55</f>
        <v/>
      </c>
      <c r="BF73" s="39">
        <f>AX73*(1-$B$15)+AY73+BB73+IF($B$19=1,AV73*'1_Assumptions'!$E$33,0)-AZ73-(BE73-AT73)</f>
        <v/>
      </c>
      <c r="BG73" s="39">
        <f>N73/(1+$B$21)^(1-0.5*$B$23)+Y73/(1+$B$21)^(2-0.5*$B$23)+AJ73/(1+$B$21)^(3-0.5*$B$23)+AU73/(1+$B$21)^(4-0.5*$B$23)+BF73/(1+$B$21)^(5-0.5*$B$23)</f>
        <v/>
      </c>
      <c r="BH73" s="39">
        <f>BE73+BA73+BC73+$B$9+IF($B$17=1,BD73,0)</f>
        <v/>
      </c>
      <c r="BI73" s="19">
        <f>IF($B$32=2,$B$21+$B$33,IF(BH73=0,0,BL73/BH73))</f>
        <v/>
      </c>
      <c r="BJ73" s="19">
        <f>IF(BI73=0,9,$C73/BI73)</f>
        <v/>
      </c>
      <c r="BK73" s="55">
        <f>IF(OR(BH73&lt;=0,BI73&lt;=$B$21,BJ73&gt;=1,BJ73&lt;0),1,0)</f>
        <v/>
      </c>
      <c r="BL73" s="39">
        <f>AX73*(1-$B$20)</f>
        <v/>
      </c>
      <c r="BM73" s="39">
        <f>IF(BK73=1,BL73,AX73*(1+$C73)*(1-$B$20)*(1-BJ73))</f>
        <v/>
      </c>
      <c r="BN73" s="39">
        <f>IF(BK73=1,BL73/$B$21,BM73/($B$21-$C73))</f>
        <v/>
      </c>
      <c r="BO73" s="39">
        <f>BN73/(1+$B$21)^(5-0.5*$B$23)</f>
        <v/>
      </c>
      <c r="BP73" s="39">
        <f>BG73+BO73</f>
        <v/>
      </c>
      <c r="BQ73" s="39">
        <f>BP73*(1+$B$21)^$B$24-N73*$B$24*(1+$B$21)^($B$24/2)</f>
        <v/>
      </c>
      <c r="BR73" s="39">
        <f>BQ73-$B$25+$B$26+$B$27</f>
        <v/>
      </c>
      <c r="BS73" s="39">
        <f>IF($B$28=1,$B$30,BR73*$B$29)</f>
        <v/>
      </c>
      <c r="BT73" s="39">
        <f>BR73-BS73</f>
        <v/>
      </c>
      <c r="BU73" s="58">
        <f>BT73/$B$31</f>
        <v/>
      </c>
    </row>
    <row r="74">
      <c r="A74" s="17" t="inlineStr">
        <is>
          <t>2-3</t>
        </is>
      </c>
      <c r="B74" s="26" t="n">
        <v>-0.02</v>
      </c>
      <c r="C74" s="26" t="n">
        <v>0.025</v>
      </c>
      <c r="D74" s="39">
        <f>$B$5*(1+'1_Assumptions'!$E$11)</f>
        <v/>
      </c>
      <c r="E74" s="39">
        <f>D74*(1-('1_Assumptions'!$E$17+IF('1_Assumptions'!$B$39=1,0,$B74)))</f>
        <v/>
      </c>
      <c r="F74" s="39">
        <f>D74-E74-D74*$B$11+D74*$B$12</f>
        <v/>
      </c>
      <c r="G74" s="39">
        <f>$B$6*$B$13</f>
        <v/>
      </c>
      <c r="H74" s="39">
        <f>D74*'1_Assumptions'!$E$23</f>
        <v/>
      </c>
      <c r="I74" s="39">
        <f>$B$6+H74-G74</f>
        <v/>
      </c>
      <c r="J74" s="39">
        <f>D74*$B$14</f>
        <v/>
      </c>
      <c r="K74" s="39">
        <f>$B$7-J74</f>
        <v/>
      </c>
      <c r="L74" s="39">
        <f>$B$8+D74*$B$16-$B$8/$B$18</f>
        <v/>
      </c>
      <c r="M74" s="39">
        <f>D74*'1_Assumptions'!$B$56/365+E74*'1_Assumptions'!$B$57/365+D74*'1_Assumptions'!$B$54-E74*'1_Assumptions'!$B$58/365-D74*'1_Assumptions'!$B$55</f>
        <v/>
      </c>
      <c r="N74" s="39">
        <f>F74*(1-$B$15)+G74+J74+IF($B$19=1,D74*'1_Assumptions'!$E$29,0)-H74-(M74-$B$10)</f>
        <v/>
      </c>
      <c r="O74" s="39">
        <f>D74*(1+'1_Assumptions'!$E$12)</f>
        <v/>
      </c>
      <c r="P74" s="39">
        <f>O74*(1-('1_Assumptions'!$E$18+$B74))</f>
        <v/>
      </c>
      <c r="Q74" s="39">
        <f>O74-P74-O74*$B$11+O74*$B$12</f>
        <v/>
      </c>
      <c r="R74" s="39">
        <f>I74*$B$13</f>
        <v/>
      </c>
      <c r="S74" s="39">
        <f>O74*'1_Assumptions'!$E$24</f>
        <v/>
      </c>
      <c r="T74" s="39">
        <f>I74+S74-R74</f>
        <v/>
      </c>
      <c r="U74" s="39">
        <f>O74*$B$14</f>
        <v/>
      </c>
      <c r="V74" s="39">
        <f>K74-U74</f>
        <v/>
      </c>
      <c r="W74" s="39">
        <f>L74+O74*$B$16-L74/$B$18</f>
        <v/>
      </c>
      <c r="X74" s="39">
        <f>O74*'1_Assumptions'!$B$56/365+P74*'1_Assumptions'!$B$57/365+O74*'1_Assumptions'!$B$54-P74*'1_Assumptions'!$B$58/365-O74*'1_Assumptions'!$B$55</f>
        <v/>
      </c>
      <c r="Y74" s="39">
        <f>Q74*(1-$B$15)+R74+U74+IF($B$19=1,O74*'1_Assumptions'!$E$30,0)-S74-(X74-M74)</f>
        <v/>
      </c>
      <c r="Z74" s="39">
        <f>O74*(1+'1_Assumptions'!$E$13)</f>
        <v/>
      </c>
      <c r="AA74" s="39">
        <f>Z74*(1-('1_Assumptions'!$E$19+$B74))</f>
        <v/>
      </c>
      <c r="AB74" s="39">
        <f>Z74-AA74-Z74*$B$11+Z74*$B$12</f>
        <v/>
      </c>
      <c r="AC74" s="39">
        <f>T74*$B$13</f>
        <v/>
      </c>
      <c r="AD74" s="39">
        <f>Z74*'1_Assumptions'!$E$25</f>
        <v/>
      </c>
      <c r="AE74" s="39">
        <f>T74+AD74-AC74</f>
        <v/>
      </c>
      <c r="AF74" s="39">
        <f>Z74*$B$14</f>
        <v/>
      </c>
      <c r="AG74" s="39">
        <f>V74-AF74</f>
        <v/>
      </c>
      <c r="AH74" s="39">
        <f>W74+Z74*$B$16-W74/$B$18</f>
        <v/>
      </c>
      <c r="AI74" s="39">
        <f>Z74*'1_Assumptions'!$B$56/365+AA74*'1_Assumptions'!$B$57/365+Z74*'1_Assumptions'!$B$54-AA74*'1_Assumptions'!$B$58/365-Z74*'1_Assumptions'!$B$55</f>
        <v/>
      </c>
      <c r="AJ74" s="39">
        <f>AB74*(1-$B$15)+AC74+AF74+IF($B$19=1,Z74*'1_Assumptions'!$E$31,0)-AD74-(AI74-X74)</f>
        <v/>
      </c>
      <c r="AK74" s="39">
        <f>Z74*(1+'1_Assumptions'!$E$14)</f>
        <v/>
      </c>
      <c r="AL74" s="39">
        <f>AK74*(1-('1_Assumptions'!$E$20+$B74))</f>
        <v/>
      </c>
      <c r="AM74" s="39">
        <f>AK74-AL74-AK74*$B$11+AK74*$B$12</f>
        <v/>
      </c>
      <c r="AN74" s="39">
        <f>AE74*$B$13</f>
        <v/>
      </c>
      <c r="AO74" s="39">
        <f>AK74*'1_Assumptions'!$E$26</f>
        <v/>
      </c>
      <c r="AP74" s="39">
        <f>AE74+AO74-AN74</f>
        <v/>
      </c>
      <c r="AQ74" s="39">
        <f>AK74*$B$14</f>
        <v/>
      </c>
      <c r="AR74" s="39">
        <f>AG74-AQ74</f>
        <v/>
      </c>
      <c r="AS74" s="39">
        <f>AH74+AK74*$B$16-AH74/$B$18</f>
        <v/>
      </c>
      <c r="AT74" s="39">
        <f>AK74*'1_Assumptions'!$B$56/365+AL74*'1_Assumptions'!$B$57/365+AK74*'1_Assumptions'!$B$54-AL74*'1_Assumptions'!$B$58/365-AK74*'1_Assumptions'!$B$55</f>
        <v/>
      </c>
      <c r="AU74" s="39">
        <f>AM74*(1-$B$15)+AN74+AQ74+IF($B$19=1,AK74*'1_Assumptions'!$E$32,0)-AO74-(AT74-AI74)</f>
        <v/>
      </c>
      <c r="AV74" s="39">
        <f>AK74*(1+'1_Assumptions'!$E$15)</f>
        <v/>
      </c>
      <c r="AW74" s="39">
        <f>AV74*(1-('1_Assumptions'!$E$21+$B74))</f>
        <v/>
      </c>
      <c r="AX74" s="39">
        <f>AV74-AW74-AV74*$B$11+AV74*$B$12</f>
        <v/>
      </c>
      <c r="AY74" s="39">
        <f>AP74*$B$13</f>
        <v/>
      </c>
      <c r="AZ74" s="39">
        <f>AV74*'1_Assumptions'!$E$27</f>
        <v/>
      </c>
      <c r="BA74" s="39">
        <f>AP74+AZ74-AY74</f>
        <v/>
      </c>
      <c r="BB74" s="39">
        <f>AV74*$B$14</f>
        <v/>
      </c>
      <c r="BC74" s="39">
        <f>AR74-BB74</f>
        <v/>
      </c>
      <c r="BD74" s="39">
        <f>AS74+AV74*$B$16-AS74/$B$18</f>
        <v/>
      </c>
      <c r="BE74" s="39">
        <f>AV74*'1_Assumptions'!$B$56/365+AW74*'1_Assumptions'!$B$57/365+AV74*'1_Assumptions'!$B$54-AW74*'1_Assumptions'!$B$58/365-AV74*'1_Assumptions'!$B$55</f>
        <v/>
      </c>
      <c r="BF74" s="39">
        <f>AX74*(1-$B$15)+AY74+BB74+IF($B$19=1,AV74*'1_Assumptions'!$E$33,0)-AZ74-(BE74-AT74)</f>
        <v/>
      </c>
      <c r="BG74" s="39">
        <f>N74/(1+$B$21)^(1-0.5*$B$23)+Y74/(1+$B$21)^(2-0.5*$B$23)+AJ74/(1+$B$21)^(3-0.5*$B$23)+AU74/(1+$B$21)^(4-0.5*$B$23)+BF74/(1+$B$21)^(5-0.5*$B$23)</f>
        <v/>
      </c>
      <c r="BH74" s="39">
        <f>BE74+BA74+BC74+$B$9+IF($B$17=1,BD74,0)</f>
        <v/>
      </c>
      <c r="BI74" s="19">
        <f>IF($B$32=2,$B$21+$B$33,IF(BH74=0,0,BL74/BH74))</f>
        <v/>
      </c>
      <c r="BJ74" s="19">
        <f>IF(BI74=0,9,$C74/BI74)</f>
        <v/>
      </c>
      <c r="BK74" s="55">
        <f>IF(OR(BH74&lt;=0,BI74&lt;=$B$21,BJ74&gt;=1,BJ74&lt;0),1,0)</f>
        <v/>
      </c>
      <c r="BL74" s="39">
        <f>AX74*(1-$B$20)</f>
        <v/>
      </c>
      <c r="BM74" s="39">
        <f>IF(BK74=1,BL74,AX74*(1+$C74)*(1-$B$20)*(1-BJ74))</f>
        <v/>
      </c>
      <c r="BN74" s="39">
        <f>IF(BK74=1,BL74/$B$21,BM74/($B$21-$C74))</f>
        <v/>
      </c>
      <c r="BO74" s="39">
        <f>BN74/(1+$B$21)^(5-0.5*$B$23)</f>
        <v/>
      </c>
      <c r="BP74" s="39">
        <f>BG74+BO74</f>
        <v/>
      </c>
      <c r="BQ74" s="39">
        <f>BP74*(1+$B$21)^$B$24-N74*$B$24*(1+$B$21)^($B$24/2)</f>
        <v/>
      </c>
      <c r="BR74" s="39">
        <f>BQ74-$B$25+$B$26+$B$27</f>
        <v/>
      </c>
      <c r="BS74" s="39">
        <f>IF($B$28=1,$B$30,BR74*$B$29)</f>
        <v/>
      </c>
      <c r="BT74" s="39">
        <f>BR74-BS74</f>
        <v/>
      </c>
      <c r="BU74" s="58">
        <f>BT74/$B$31</f>
        <v/>
      </c>
    </row>
    <row r="75">
      <c r="A75" s="17" t="inlineStr">
        <is>
          <t>2-4</t>
        </is>
      </c>
      <c r="B75" s="26" t="n">
        <v>-0.02</v>
      </c>
      <c r="C75" s="26" t="n">
        <v>0.0325</v>
      </c>
      <c r="D75" s="39">
        <f>$B$5*(1+'1_Assumptions'!$E$11)</f>
        <v/>
      </c>
      <c r="E75" s="39">
        <f>D75*(1-('1_Assumptions'!$E$17+IF('1_Assumptions'!$B$39=1,0,$B75)))</f>
        <v/>
      </c>
      <c r="F75" s="39">
        <f>D75-E75-D75*$B$11+D75*$B$12</f>
        <v/>
      </c>
      <c r="G75" s="39">
        <f>$B$6*$B$13</f>
        <v/>
      </c>
      <c r="H75" s="39">
        <f>D75*'1_Assumptions'!$E$23</f>
        <v/>
      </c>
      <c r="I75" s="39">
        <f>$B$6+H75-G75</f>
        <v/>
      </c>
      <c r="J75" s="39">
        <f>D75*$B$14</f>
        <v/>
      </c>
      <c r="K75" s="39">
        <f>$B$7-J75</f>
        <v/>
      </c>
      <c r="L75" s="39">
        <f>$B$8+D75*$B$16-$B$8/$B$18</f>
        <v/>
      </c>
      <c r="M75" s="39">
        <f>D75*'1_Assumptions'!$B$56/365+E75*'1_Assumptions'!$B$57/365+D75*'1_Assumptions'!$B$54-E75*'1_Assumptions'!$B$58/365-D75*'1_Assumptions'!$B$55</f>
        <v/>
      </c>
      <c r="N75" s="39">
        <f>F75*(1-$B$15)+G75+J75+IF($B$19=1,D75*'1_Assumptions'!$E$29,0)-H75-(M75-$B$10)</f>
        <v/>
      </c>
      <c r="O75" s="39">
        <f>D75*(1+'1_Assumptions'!$E$12)</f>
        <v/>
      </c>
      <c r="P75" s="39">
        <f>O75*(1-('1_Assumptions'!$E$18+$B75))</f>
        <v/>
      </c>
      <c r="Q75" s="39">
        <f>O75-P75-O75*$B$11+O75*$B$12</f>
        <v/>
      </c>
      <c r="R75" s="39">
        <f>I75*$B$13</f>
        <v/>
      </c>
      <c r="S75" s="39">
        <f>O75*'1_Assumptions'!$E$24</f>
        <v/>
      </c>
      <c r="T75" s="39">
        <f>I75+S75-R75</f>
        <v/>
      </c>
      <c r="U75" s="39">
        <f>O75*$B$14</f>
        <v/>
      </c>
      <c r="V75" s="39">
        <f>K75-U75</f>
        <v/>
      </c>
      <c r="W75" s="39">
        <f>L75+O75*$B$16-L75/$B$18</f>
        <v/>
      </c>
      <c r="X75" s="39">
        <f>O75*'1_Assumptions'!$B$56/365+P75*'1_Assumptions'!$B$57/365+O75*'1_Assumptions'!$B$54-P75*'1_Assumptions'!$B$58/365-O75*'1_Assumptions'!$B$55</f>
        <v/>
      </c>
      <c r="Y75" s="39">
        <f>Q75*(1-$B$15)+R75+U75+IF($B$19=1,O75*'1_Assumptions'!$E$30,0)-S75-(X75-M75)</f>
        <v/>
      </c>
      <c r="Z75" s="39">
        <f>O75*(1+'1_Assumptions'!$E$13)</f>
        <v/>
      </c>
      <c r="AA75" s="39">
        <f>Z75*(1-('1_Assumptions'!$E$19+$B75))</f>
        <v/>
      </c>
      <c r="AB75" s="39">
        <f>Z75-AA75-Z75*$B$11+Z75*$B$12</f>
        <v/>
      </c>
      <c r="AC75" s="39">
        <f>T75*$B$13</f>
        <v/>
      </c>
      <c r="AD75" s="39">
        <f>Z75*'1_Assumptions'!$E$25</f>
        <v/>
      </c>
      <c r="AE75" s="39">
        <f>T75+AD75-AC75</f>
        <v/>
      </c>
      <c r="AF75" s="39">
        <f>Z75*$B$14</f>
        <v/>
      </c>
      <c r="AG75" s="39">
        <f>V75-AF75</f>
        <v/>
      </c>
      <c r="AH75" s="39">
        <f>W75+Z75*$B$16-W75/$B$18</f>
        <v/>
      </c>
      <c r="AI75" s="39">
        <f>Z75*'1_Assumptions'!$B$56/365+AA75*'1_Assumptions'!$B$57/365+Z75*'1_Assumptions'!$B$54-AA75*'1_Assumptions'!$B$58/365-Z75*'1_Assumptions'!$B$55</f>
        <v/>
      </c>
      <c r="AJ75" s="39">
        <f>AB75*(1-$B$15)+AC75+AF75+IF($B$19=1,Z75*'1_Assumptions'!$E$31,0)-AD75-(AI75-X75)</f>
        <v/>
      </c>
      <c r="AK75" s="39">
        <f>Z75*(1+'1_Assumptions'!$E$14)</f>
        <v/>
      </c>
      <c r="AL75" s="39">
        <f>AK75*(1-('1_Assumptions'!$E$20+$B75))</f>
        <v/>
      </c>
      <c r="AM75" s="39">
        <f>AK75-AL75-AK75*$B$11+AK75*$B$12</f>
        <v/>
      </c>
      <c r="AN75" s="39">
        <f>AE75*$B$13</f>
        <v/>
      </c>
      <c r="AO75" s="39">
        <f>AK75*'1_Assumptions'!$E$26</f>
        <v/>
      </c>
      <c r="AP75" s="39">
        <f>AE75+AO75-AN75</f>
        <v/>
      </c>
      <c r="AQ75" s="39">
        <f>AK75*$B$14</f>
        <v/>
      </c>
      <c r="AR75" s="39">
        <f>AG75-AQ75</f>
        <v/>
      </c>
      <c r="AS75" s="39">
        <f>AH75+AK75*$B$16-AH75/$B$18</f>
        <v/>
      </c>
      <c r="AT75" s="39">
        <f>AK75*'1_Assumptions'!$B$56/365+AL75*'1_Assumptions'!$B$57/365+AK75*'1_Assumptions'!$B$54-AL75*'1_Assumptions'!$B$58/365-AK75*'1_Assumptions'!$B$55</f>
        <v/>
      </c>
      <c r="AU75" s="39">
        <f>AM75*(1-$B$15)+AN75+AQ75+IF($B$19=1,AK75*'1_Assumptions'!$E$32,0)-AO75-(AT75-AI75)</f>
        <v/>
      </c>
      <c r="AV75" s="39">
        <f>AK75*(1+'1_Assumptions'!$E$15)</f>
        <v/>
      </c>
      <c r="AW75" s="39">
        <f>AV75*(1-('1_Assumptions'!$E$21+$B75))</f>
        <v/>
      </c>
      <c r="AX75" s="39">
        <f>AV75-AW75-AV75*$B$11+AV75*$B$12</f>
        <v/>
      </c>
      <c r="AY75" s="39">
        <f>AP75*$B$13</f>
        <v/>
      </c>
      <c r="AZ75" s="39">
        <f>AV75*'1_Assumptions'!$E$27</f>
        <v/>
      </c>
      <c r="BA75" s="39">
        <f>AP75+AZ75-AY75</f>
        <v/>
      </c>
      <c r="BB75" s="39">
        <f>AV75*$B$14</f>
        <v/>
      </c>
      <c r="BC75" s="39">
        <f>AR75-BB75</f>
        <v/>
      </c>
      <c r="BD75" s="39">
        <f>AS75+AV75*$B$16-AS75/$B$18</f>
        <v/>
      </c>
      <c r="BE75" s="39">
        <f>AV75*'1_Assumptions'!$B$56/365+AW75*'1_Assumptions'!$B$57/365+AV75*'1_Assumptions'!$B$54-AW75*'1_Assumptions'!$B$58/365-AV75*'1_Assumptions'!$B$55</f>
        <v/>
      </c>
      <c r="BF75" s="39">
        <f>AX75*(1-$B$15)+AY75+BB75+IF($B$19=1,AV75*'1_Assumptions'!$E$33,0)-AZ75-(BE75-AT75)</f>
        <v/>
      </c>
      <c r="BG75" s="39">
        <f>N75/(1+$B$21)^(1-0.5*$B$23)+Y75/(1+$B$21)^(2-0.5*$B$23)+AJ75/(1+$B$21)^(3-0.5*$B$23)+AU75/(1+$B$21)^(4-0.5*$B$23)+BF75/(1+$B$21)^(5-0.5*$B$23)</f>
        <v/>
      </c>
      <c r="BH75" s="39">
        <f>BE75+BA75+BC75+$B$9+IF($B$17=1,BD75,0)</f>
        <v/>
      </c>
      <c r="BI75" s="19">
        <f>IF($B$32=2,$B$21+$B$33,IF(BH75=0,0,BL75/BH75))</f>
        <v/>
      </c>
      <c r="BJ75" s="19">
        <f>IF(BI75=0,9,$C75/BI75)</f>
        <v/>
      </c>
      <c r="BK75" s="55">
        <f>IF(OR(BH75&lt;=0,BI75&lt;=$B$21,BJ75&gt;=1,BJ75&lt;0),1,0)</f>
        <v/>
      </c>
      <c r="BL75" s="39">
        <f>AX75*(1-$B$20)</f>
        <v/>
      </c>
      <c r="BM75" s="39">
        <f>IF(BK75=1,BL75,AX75*(1+$C75)*(1-$B$20)*(1-BJ75))</f>
        <v/>
      </c>
      <c r="BN75" s="39">
        <f>IF(BK75=1,BL75/$B$21,BM75/($B$21-$C75))</f>
        <v/>
      </c>
      <c r="BO75" s="39">
        <f>BN75/(1+$B$21)^(5-0.5*$B$23)</f>
        <v/>
      </c>
      <c r="BP75" s="39">
        <f>BG75+BO75</f>
        <v/>
      </c>
      <c r="BQ75" s="39">
        <f>BP75*(1+$B$21)^$B$24-N75*$B$24*(1+$B$21)^($B$24/2)</f>
        <v/>
      </c>
      <c r="BR75" s="39">
        <f>BQ75-$B$25+$B$26+$B$27</f>
        <v/>
      </c>
      <c r="BS75" s="39">
        <f>IF($B$28=1,$B$30,BR75*$B$29)</f>
        <v/>
      </c>
      <c r="BT75" s="39">
        <f>BR75-BS75</f>
        <v/>
      </c>
      <c r="BU75" s="58">
        <f>BT75/$B$31</f>
        <v/>
      </c>
    </row>
    <row r="76">
      <c r="A76" s="17" t="inlineStr">
        <is>
          <t>2-5</t>
        </is>
      </c>
      <c r="B76" s="26" t="n">
        <v>-0.02</v>
      </c>
      <c r="C76" s="26" t="n">
        <v>0.04</v>
      </c>
      <c r="D76" s="39">
        <f>$B$5*(1+'1_Assumptions'!$E$11)</f>
        <v/>
      </c>
      <c r="E76" s="39">
        <f>D76*(1-('1_Assumptions'!$E$17+IF('1_Assumptions'!$B$39=1,0,$B76)))</f>
        <v/>
      </c>
      <c r="F76" s="39">
        <f>D76-E76-D76*$B$11+D76*$B$12</f>
        <v/>
      </c>
      <c r="G76" s="39">
        <f>$B$6*$B$13</f>
        <v/>
      </c>
      <c r="H76" s="39">
        <f>D76*'1_Assumptions'!$E$23</f>
        <v/>
      </c>
      <c r="I76" s="39">
        <f>$B$6+H76-G76</f>
        <v/>
      </c>
      <c r="J76" s="39">
        <f>D76*$B$14</f>
        <v/>
      </c>
      <c r="K76" s="39">
        <f>$B$7-J76</f>
        <v/>
      </c>
      <c r="L76" s="39">
        <f>$B$8+D76*$B$16-$B$8/$B$18</f>
        <v/>
      </c>
      <c r="M76" s="39">
        <f>D76*'1_Assumptions'!$B$56/365+E76*'1_Assumptions'!$B$57/365+D76*'1_Assumptions'!$B$54-E76*'1_Assumptions'!$B$58/365-D76*'1_Assumptions'!$B$55</f>
        <v/>
      </c>
      <c r="N76" s="39">
        <f>F76*(1-$B$15)+G76+J76+IF($B$19=1,D76*'1_Assumptions'!$E$29,0)-H76-(M76-$B$10)</f>
        <v/>
      </c>
      <c r="O76" s="39">
        <f>D76*(1+'1_Assumptions'!$E$12)</f>
        <v/>
      </c>
      <c r="P76" s="39">
        <f>O76*(1-('1_Assumptions'!$E$18+$B76))</f>
        <v/>
      </c>
      <c r="Q76" s="39">
        <f>O76-P76-O76*$B$11+O76*$B$12</f>
        <v/>
      </c>
      <c r="R76" s="39">
        <f>I76*$B$13</f>
        <v/>
      </c>
      <c r="S76" s="39">
        <f>O76*'1_Assumptions'!$E$24</f>
        <v/>
      </c>
      <c r="T76" s="39">
        <f>I76+S76-R76</f>
        <v/>
      </c>
      <c r="U76" s="39">
        <f>O76*$B$14</f>
        <v/>
      </c>
      <c r="V76" s="39">
        <f>K76-U76</f>
        <v/>
      </c>
      <c r="W76" s="39">
        <f>L76+O76*$B$16-L76/$B$18</f>
        <v/>
      </c>
      <c r="X76" s="39">
        <f>O76*'1_Assumptions'!$B$56/365+P76*'1_Assumptions'!$B$57/365+O76*'1_Assumptions'!$B$54-P76*'1_Assumptions'!$B$58/365-O76*'1_Assumptions'!$B$55</f>
        <v/>
      </c>
      <c r="Y76" s="39">
        <f>Q76*(1-$B$15)+R76+U76+IF($B$19=1,O76*'1_Assumptions'!$E$30,0)-S76-(X76-M76)</f>
        <v/>
      </c>
      <c r="Z76" s="39">
        <f>O76*(1+'1_Assumptions'!$E$13)</f>
        <v/>
      </c>
      <c r="AA76" s="39">
        <f>Z76*(1-('1_Assumptions'!$E$19+$B76))</f>
        <v/>
      </c>
      <c r="AB76" s="39">
        <f>Z76-AA76-Z76*$B$11+Z76*$B$12</f>
        <v/>
      </c>
      <c r="AC76" s="39">
        <f>T76*$B$13</f>
        <v/>
      </c>
      <c r="AD76" s="39">
        <f>Z76*'1_Assumptions'!$E$25</f>
        <v/>
      </c>
      <c r="AE76" s="39">
        <f>T76+AD76-AC76</f>
        <v/>
      </c>
      <c r="AF76" s="39">
        <f>Z76*$B$14</f>
        <v/>
      </c>
      <c r="AG76" s="39">
        <f>V76-AF76</f>
        <v/>
      </c>
      <c r="AH76" s="39">
        <f>W76+Z76*$B$16-W76/$B$18</f>
        <v/>
      </c>
      <c r="AI76" s="39">
        <f>Z76*'1_Assumptions'!$B$56/365+AA76*'1_Assumptions'!$B$57/365+Z76*'1_Assumptions'!$B$54-AA76*'1_Assumptions'!$B$58/365-Z76*'1_Assumptions'!$B$55</f>
        <v/>
      </c>
      <c r="AJ76" s="39">
        <f>AB76*(1-$B$15)+AC76+AF76+IF($B$19=1,Z76*'1_Assumptions'!$E$31,0)-AD76-(AI76-X76)</f>
        <v/>
      </c>
      <c r="AK76" s="39">
        <f>Z76*(1+'1_Assumptions'!$E$14)</f>
        <v/>
      </c>
      <c r="AL76" s="39">
        <f>AK76*(1-('1_Assumptions'!$E$20+$B76))</f>
        <v/>
      </c>
      <c r="AM76" s="39">
        <f>AK76-AL76-AK76*$B$11+AK76*$B$12</f>
        <v/>
      </c>
      <c r="AN76" s="39">
        <f>AE76*$B$13</f>
        <v/>
      </c>
      <c r="AO76" s="39">
        <f>AK76*'1_Assumptions'!$E$26</f>
        <v/>
      </c>
      <c r="AP76" s="39">
        <f>AE76+AO76-AN76</f>
        <v/>
      </c>
      <c r="AQ76" s="39">
        <f>AK76*$B$14</f>
        <v/>
      </c>
      <c r="AR76" s="39">
        <f>AG76-AQ76</f>
        <v/>
      </c>
      <c r="AS76" s="39">
        <f>AH76+AK76*$B$16-AH76/$B$18</f>
        <v/>
      </c>
      <c r="AT76" s="39">
        <f>AK76*'1_Assumptions'!$B$56/365+AL76*'1_Assumptions'!$B$57/365+AK76*'1_Assumptions'!$B$54-AL76*'1_Assumptions'!$B$58/365-AK76*'1_Assumptions'!$B$55</f>
        <v/>
      </c>
      <c r="AU76" s="39">
        <f>AM76*(1-$B$15)+AN76+AQ76+IF($B$19=1,AK76*'1_Assumptions'!$E$32,0)-AO76-(AT76-AI76)</f>
        <v/>
      </c>
      <c r="AV76" s="39">
        <f>AK76*(1+'1_Assumptions'!$E$15)</f>
        <v/>
      </c>
      <c r="AW76" s="39">
        <f>AV76*(1-('1_Assumptions'!$E$21+$B76))</f>
        <v/>
      </c>
      <c r="AX76" s="39">
        <f>AV76-AW76-AV76*$B$11+AV76*$B$12</f>
        <v/>
      </c>
      <c r="AY76" s="39">
        <f>AP76*$B$13</f>
        <v/>
      </c>
      <c r="AZ76" s="39">
        <f>AV76*'1_Assumptions'!$E$27</f>
        <v/>
      </c>
      <c r="BA76" s="39">
        <f>AP76+AZ76-AY76</f>
        <v/>
      </c>
      <c r="BB76" s="39">
        <f>AV76*$B$14</f>
        <v/>
      </c>
      <c r="BC76" s="39">
        <f>AR76-BB76</f>
        <v/>
      </c>
      <c r="BD76" s="39">
        <f>AS76+AV76*$B$16-AS76/$B$18</f>
        <v/>
      </c>
      <c r="BE76" s="39">
        <f>AV76*'1_Assumptions'!$B$56/365+AW76*'1_Assumptions'!$B$57/365+AV76*'1_Assumptions'!$B$54-AW76*'1_Assumptions'!$B$58/365-AV76*'1_Assumptions'!$B$55</f>
        <v/>
      </c>
      <c r="BF76" s="39">
        <f>AX76*(1-$B$15)+AY76+BB76+IF($B$19=1,AV76*'1_Assumptions'!$E$33,0)-AZ76-(BE76-AT76)</f>
        <v/>
      </c>
      <c r="BG76" s="39">
        <f>N76/(1+$B$21)^(1-0.5*$B$23)+Y76/(1+$B$21)^(2-0.5*$B$23)+AJ76/(1+$B$21)^(3-0.5*$B$23)+AU76/(1+$B$21)^(4-0.5*$B$23)+BF76/(1+$B$21)^(5-0.5*$B$23)</f>
        <v/>
      </c>
      <c r="BH76" s="39">
        <f>BE76+BA76+BC76+$B$9+IF($B$17=1,BD76,0)</f>
        <v/>
      </c>
      <c r="BI76" s="19">
        <f>IF($B$32=2,$B$21+$B$33,IF(BH76=0,0,BL76/BH76))</f>
        <v/>
      </c>
      <c r="BJ76" s="19">
        <f>IF(BI76=0,9,$C76/BI76)</f>
        <v/>
      </c>
      <c r="BK76" s="55">
        <f>IF(OR(BH76&lt;=0,BI76&lt;=$B$21,BJ76&gt;=1,BJ76&lt;0),1,0)</f>
        <v/>
      </c>
      <c r="BL76" s="39">
        <f>AX76*(1-$B$20)</f>
        <v/>
      </c>
      <c r="BM76" s="39">
        <f>IF(BK76=1,BL76,AX76*(1+$C76)*(1-$B$20)*(1-BJ76))</f>
        <v/>
      </c>
      <c r="BN76" s="39">
        <f>IF(BK76=1,BL76/$B$21,BM76/($B$21-$C76))</f>
        <v/>
      </c>
      <c r="BO76" s="39">
        <f>BN76/(1+$B$21)^(5-0.5*$B$23)</f>
        <v/>
      </c>
      <c r="BP76" s="39">
        <f>BG76+BO76</f>
        <v/>
      </c>
      <c r="BQ76" s="39">
        <f>BP76*(1+$B$21)^$B$24-N76*$B$24*(1+$B$21)^($B$24/2)</f>
        <v/>
      </c>
      <c r="BR76" s="39">
        <f>BQ76-$B$25+$B$26+$B$27</f>
        <v/>
      </c>
      <c r="BS76" s="39">
        <f>IF($B$28=1,$B$30,BR76*$B$29)</f>
        <v/>
      </c>
      <c r="BT76" s="39">
        <f>BR76-BS76</f>
        <v/>
      </c>
      <c r="BU76" s="58">
        <f>BT76/$B$31</f>
        <v/>
      </c>
    </row>
    <row r="77">
      <c r="A77" s="17" t="inlineStr">
        <is>
          <t>3-1</t>
        </is>
      </c>
      <c r="B77" s="26" t="n">
        <v>0</v>
      </c>
      <c r="C77" s="26" t="n">
        <v>0.01</v>
      </c>
      <c r="D77" s="39">
        <f>$B$5*(1+'1_Assumptions'!$E$11)</f>
        <v/>
      </c>
      <c r="E77" s="39">
        <f>D77*(1-('1_Assumptions'!$E$17+IF('1_Assumptions'!$B$39=1,0,$B77)))</f>
        <v/>
      </c>
      <c r="F77" s="39">
        <f>D77-E77-D77*$B$11+D77*$B$12</f>
        <v/>
      </c>
      <c r="G77" s="39">
        <f>$B$6*$B$13</f>
        <v/>
      </c>
      <c r="H77" s="39">
        <f>D77*'1_Assumptions'!$E$23</f>
        <v/>
      </c>
      <c r="I77" s="39">
        <f>$B$6+H77-G77</f>
        <v/>
      </c>
      <c r="J77" s="39">
        <f>D77*$B$14</f>
        <v/>
      </c>
      <c r="K77" s="39">
        <f>$B$7-J77</f>
        <v/>
      </c>
      <c r="L77" s="39">
        <f>$B$8+D77*$B$16-$B$8/$B$18</f>
        <v/>
      </c>
      <c r="M77" s="39">
        <f>D77*'1_Assumptions'!$B$56/365+E77*'1_Assumptions'!$B$57/365+D77*'1_Assumptions'!$B$54-E77*'1_Assumptions'!$B$58/365-D77*'1_Assumptions'!$B$55</f>
        <v/>
      </c>
      <c r="N77" s="39">
        <f>F77*(1-$B$15)+G77+J77+IF($B$19=1,D77*'1_Assumptions'!$E$29,0)-H77-(M77-$B$10)</f>
        <v/>
      </c>
      <c r="O77" s="39">
        <f>D77*(1+'1_Assumptions'!$E$12)</f>
        <v/>
      </c>
      <c r="P77" s="39">
        <f>O77*(1-('1_Assumptions'!$E$18+$B77))</f>
        <v/>
      </c>
      <c r="Q77" s="39">
        <f>O77-P77-O77*$B$11+O77*$B$12</f>
        <v/>
      </c>
      <c r="R77" s="39">
        <f>I77*$B$13</f>
        <v/>
      </c>
      <c r="S77" s="39">
        <f>O77*'1_Assumptions'!$E$24</f>
        <v/>
      </c>
      <c r="T77" s="39">
        <f>I77+S77-R77</f>
        <v/>
      </c>
      <c r="U77" s="39">
        <f>O77*$B$14</f>
        <v/>
      </c>
      <c r="V77" s="39">
        <f>K77-U77</f>
        <v/>
      </c>
      <c r="W77" s="39">
        <f>L77+O77*$B$16-L77/$B$18</f>
        <v/>
      </c>
      <c r="X77" s="39">
        <f>O77*'1_Assumptions'!$B$56/365+P77*'1_Assumptions'!$B$57/365+O77*'1_Assumptions'!$B$54-P77*'1_Assumptions'!$B$58/365-O77*'1_Assumptions'!$B$55</f>
        <v/>
      </c>
      <c r="Y77" s="39">
        <f>Q77*(1-$B$15)+R77+U77+IF($B$19=1,O77*'1_Assumptions'!$E$30,0)-S77-(X77-M77)</f>
        <v/>
      </c>
      <c r="Z77" s="39">
        <f>O77*(1+'1_Assumptions'!$E$13)</f>
        <v/>
      </c>
      <c r="AA77" s="39">
        <f>Z77*(1-('1_Assumptions'!$E$19+$B77))</f>
        <v/>
      </c>
      <c r="AB77" s="39">
        <f>Z77-AA77-Z77*$B$11+Z77*$B$12</f>
        <v/>
      </c>
      <c r="AC77" s="39">
        <f>T77*$B$13</f>
        <v/>
      </c>
      <c r="AD77" s="39">
        <f>Z77*'1_Assumptions'!$E$25</f>
        <v/>
      </c>
      <c r="AE77" s="39">
        <f>T77+AD77-AC77</f>
        <v/>
      </c>
      <c r="AF77" s="39">
        <f>Z77*$B$14</f>
        <v/>
      </c>
      <c r="AG77" s="39">
        <f>V77-AF77</f>
        <v/>
      </c>
      <c r="AH77" s="39">
        <f>W77+Z77*$B$16-W77/$B$18</f>
        <v/>
      </c>
      <c r="AI77" s="39">
        <f>Z77*'1_Assumptions'!$B$56/365+AA77*'1_Assumptions'!$B$57/365+Z77*'1_Assumptions'!$B$54-AA77*'1_Assumptions'!$B$58/365-Z77*'1_Assumptions'!$B$55</f>
        <v/>
      </c>
      <c r="AJ77" s="39">
        <f>AB77*(1-$B$15)+AC77+AF77+IF($B$19=1,Z77*'1_Assumptions'!$E$31,0)-AD77-(AI77-X77)</f>
        <v/>
      </c>
      <c r="AK77" s="39">
        <f>Z77*(1+'1_Assumptions'!$E$14)</f>
        <v/>
      </c>
      <c r="AL77" s="39">
        <f>AK77*(1-('1_Assumptions'!$E$20+$B77))</f>
        <v/>
      </c>
      <c r="AM77" s="39">
        <f>AK77-AL77-AK77*$B$11+AK77*$B$12</f>
        <v/>
      </c>
      <c r="AN77" s="39">
        <f>AE77*$B$13</f>
        <v/>
      </c>
      <c r="AO77" s="39">
        <f>AK77*'1_Assumptions'!$E$26</f>
        <v/>
      </c>
      <c r="AP77" s="39">
        <f>AE77+AO77-AN77</f>
        <v/>
      </c>
      <c r="AQ77" s="39">
        <f>AK77*$B$14</f>
        <v/>
      </c>
      <c r="AR77" s="39">
        <f>AG77-AQ77</f>
        <v/>
      </c>
      <c r="AS77" s="39">
        <f>AH77+AK77*$B$16-AH77/$B$18</f>
        <v/>
      </c>
      <c r="AT77" s="39">
        <f>AK77*'1_Assumptions'!$B$56/365+AL77*'1_Assumptions'!$B$57/365+AK77*'1_Assumptions'!$B$54-AL77*'1_Assumptions'!$B$58/365-AK77*'1_Assumptions'!$B$55</f>
        <v/>
      </c>
      <c r="AU77" s="39">
        <f>AM77*(1-$B$15)+AN77+AQ77+IF($B$19=1,AK77*'1_Assumptions'!$E$32,0)-AO77-(AT77-AI77)</f>
        <v/>
      </c>
      <c r="AV77" s="39">
        <f>AK77*(1+'1_Assumptions'!$E$15)</f>
        <v/>
      </c>
      <c r="AW77" s="39">
        <f>AV77*(1-('1_Assumptions'!$E$21+$B77))</f>
        <v/>
      </c>
      <c r="AX77" s="39">
        <f>AV77-AW77-AV77*$B$11+AV77*$B$12</f>
        <v/>
      </c>
      <c r="AY77" s="39">
        <f>AP77*$B$13</f>
        <v/>
      </c>
      <c r="AZ77" s="39">
        <f>AV77*'1_Assumptions'!$E$27</f>
        <v/>
      </c>
      <c r="BA77" s="39">
        <f>AP77+AZ77-AY77</f>
        <v/>
      </c>
      <c r="BB77" s="39">
        <f>AV77*$B$14</f>
        <v/>
      </c>
      <c r="BC77" s="39">
        <f>AR77-BB77</f>
        <v/>
      </c>
      <c r="BD77" s="39">
        <f>AS77+AV77*$B$16-AS77/$B$18</f>
        <v/>
      </c>
      <c r="BE77" s="39">
        <f>AV77*'1_Assumptions'!$B$56/365+AW77*'1_Assumptions'!$B$57/365+AV77*'1_Assumptions'!$B$54-AW77*'1_Assumptions'!$B$58/365-AV77*'1_Assumptions'!$B$55</f>
        <v/>
      </c>
      <c r="BF77" s="39">
        <f>AX77*(1-$B$15)+AY77+BB77+IF($B$19=1,AV77*'1_Assumptions'!$E$33,0)-AZ77-(BE77-AT77)</f>
        <v/>
      </c>
      <c r="BG77" s="39">
        <f>N77/(1+$B$21)^(1-0.5*$B$23)+Y77/(1+$B$21)^(2-0.5*$B$23)+AJ77/(1+$B$21)^(3-0.5*$B$23)+AU77/(1+$B$21)^(4-0.5*$B$23)+BF77/(1+$B$21)^(5-0.5*$B$23)</f>
        <v/>
      </c>
      <c r="BH77" s="39">
        <f>BE77+BA77+BC77+$B$9+IF($B$17=1,BD77,0)</f>
        <v/>
      </c>
      <c r="BI77" s="19">
        <f>IF($B$32=2,$B$21+$B$33,IF(BH77=0,0,BL77/BH77))</f>
        <v/>
      </c>
      <c r="BJ77" s="19">
        <f>IF(BI77=0,9,$C77/BI77)</f>
        <v/>
      </c>
      <c r="BK77" s="55">
        <f>IF(OR(BH77&lt;=0,BI77&lt;=$B$21,BJ77&gt;=1,BJ77&lt;0),1,0)</f>
        <v/>
      </c>
      <c r="BL77" s="39">
        <f>AX77*(1-$B$20)</f>
        <v/>
      </c>
      <c r="BM77" s="39">
        <f>IF(BK77=1,BL77,AX77*(1+$C77)*(1-$B$20)*(1-BJ77))</f>
        <v/>
      </c>
      <c r="BN77" s="39">
        <f>IF(BK77=1,BL77/$B$21,BM77/($B$21-$C77))</f>
        <v/>
      </c>
      <c r="BO77" s="39">
        <f>BN77/(1+$B$21)^(5-0.5*$B$23)</f>
        <v/>
      </c>
      <c r="BP77" s="39">
        <f>BG77+BO77</f>
        <v/>
      </c>
      <c r="BQ77" s="39">
        <f>BP77*(1+$B$21)^$B$24-N77*$B$24*(1+$B$21)^($B$24/2)</f>
        <v/>
      </c>
      <c r="BR77" s="39">
        <f>BQ77-$B$25+$B$26+$B$27</f>
        <v/>
      </c>
      <c r="BS77" s="39">
        <f>IF($B$28=1,$B$30,BR77*$B$29)</f>
        <v/>
      </c>
      <c r="BT77" s="39">
        <f>BR77-BS77</f>
        <v/>
      </c>
      <c r="BU77" s="58">
        <f>BT77/$B$31</f>
        <v/>
      </c>
    </row>
    <row r="78">
      <c r="A78" s="17" t="inlineStr">
        <is>
          <t>3-2</t>
        </is>
      </c>
      <c r="B78" s="26" t="n">
        <v>0</v>
      </c>
      <c r="C78" s="26" t="n">
        <v>0.0175</v>
      </c>
      <c r="D78" s="39">
        <f>$B$5*(1+'1_Assumptions'!$E$11)</f>
        <v/>
      </c>
      <c r="E78" s="39">
        <f>D78*(1-('1_Assumptions'!$E$17+IF('1_Assumptions'!$B$39=1,0,$B78)))</f>
        <v/>
      </c>
      <c r="F78" s="39">
        <f>D78-E78-D78*$B$11+D78*$B$12</f>
        <v/>
      </c>
      <c r="G78" s="39">
        <f>$B$6*$B$13</f>
        <v/>
      </c>
      <c r="H78" s="39">
        <f>D78*'1_Assumptions'!$E$23</f>
        <v/>
      </c>
      <c r="I78" s="39">
        <f>$B$6+H78-G78</f>
        <v/>
      </c>
      <c r="J78" s="39">
        <f>D78*$B$14</f>
        <v/>
      </c>
      <c r="K78" s="39">
        <f>$B$7-J78</f>
        <v/>
      </c>
      <c r="L78" s="39">
        <f>$B$8+D78*$B$16-$B$8/$B$18</f>
        <v/>
      </c>
      <c r="M78" s="39">
        <f>D78*'1_Assumptions'!$B$56/365+E78*'1_Assumptions'!$B$57/365+D78*'1_Assumptions'!$B$54-E78*'1_Assumptions'!$B$58/365-D78*'1_Assumptions'!$B$55</f>
        <v/>
      </c>
      <c r="N78" s="39">
        <f>F78*(1-$B$15)+G78+J78+IF($B$19=1,D78*'1_Assumptions'!$E$29,0)-H78-(M78-$B$10)</f>
        <v/>
      </c>
      <c r="O78" s="39">
        <f>D78*(1+'1_Assumptions'!$E$12)</f>
        <v/>
      </c>
      <c r="P78" s="39">
        <f>O78*(1-('1_Assumptions'!$E$18+$B78))</f>
        <v/>
      </c>
      <c r="Q78" s="39">
        <f>O78-P78-O78*$B$11+O78*$B$12</f>
        <v/>
      </c>
      <c r="R78" s="39">
        <f>I78*$B$13</f>
        <v/>
      </c>
      <c r="S78" s="39">
        <f>O78*'1_Assumptions'!$E$24</f>
        <v/>
      </c>
      <c r="T78" s="39">
        <f>I78+S78-R78</f>
        <v/>
      </c>
      <c r="U78" s="39">
        <f>O78*$B$14</f>
        <v/>
      </c>
      <c r="V78" s="39">
        <f>K78-U78</f>
        <v/>
      </c>
      <c r="W78" s="39">
        <f>L78+O78*$B$16-L78/$B$18</f>
        <v/>
      </c>
      <c r="X78" s="39">
        <f>O78*'1_Assumptions'!$B$56/365+P78*'1_Assumptions'!$B$57/365+O78*'1_Assumptions'!$B$54-P78*'1_Assumptions'!$B$58/365-O78*'1_Assumptions'!$B$55</f>
        <v/>
      </c>
      <c r="Y78" s="39">
        <f>Q78*(1-$B$15)+R78+U78+IF($B$19=1,O78*'1_Assumptions'!$E$30,0)-S78-(X78-M78)</f>
        <v/>
      </c>
      <c r="Z78" s="39">
        <f>O78*(1+'1_Assumptions'!$E$13)</f>
        <v/>
      </c>
      <c r="AA78" s="39">
        <f>Z78*(1-('1_Assumptions'!$E$19+$B78))</f>
        <v/>
      </c>
      <c r="AB78" s="39">
        <f>Z78-AA78-Z78*$B$11+Z78*$B$12</f>
        <v/>
      </c>
      <c r="AC78" s="39">
        <f>T78*$B$13</f>
        <v/>
      </c>
      <c r="AD78" s="39">
        <f>Z78*'1_Assumptions'!$E$25</f>
        <v/>
      </c>
      <c r="AE78" s="39">
        <f>T78+AD78-AC78</f>
        <v/>
      </c>
      <c r="AF78" s="39">
        <f>Z78*$B$14</f>
        <v/>
      </c>
      <c r="AG78" s="39">
        <f>V78-AF78</f>
        <v/>
      </c>
      <c r="AH78" s="39">
        <f>W78+Z78*$B$16-W78/$B$18</f>
        <v/>
      </c>
      <c r="AI78" s="39">
        <f>Z78*'1_Assumptions'!$B$56/365+AA78*'1_Assumptions'!$B$57/365+Z78*'1_Assumptions'!$B$54-AA78*'1_Assumptions'!$B$58/365-Z78*'1_Assumptions'!$B$55</f>
        <v/>
      </c>
      <c r="AJ78" s="39">
        <f>AB78*(1-$B$15)+AC78+AF78+IF($B$19=1,Z78*'1_Assumptions'!$E$31,0)-AD78-(AI78-X78)</f>
        <v/>
      </c>
      <c r="AK78" s="39">
        <f>Z78*(1+'1_Assumptions'!$E$14)</f>
        <v/>
      </c>
      <c r="AL78" s="39">
        <f>AK78*(1-('1_Assumptions'!$E$20+$B78))</f>
        <v/>
      </c>
      <c r="AM78" s="39">
        <f>AK78-AL78-AK78*$B$11+AK78*$B$12</f>
        <v/>
      </c>
      <c r="AN78" s="39">
        <f>AE78*$B$13</f>
        <v/>
      </c>
      <c r="AO78" s="39">
        <f>AK78*'1_Assumptions'!$E$26</f>
        <v/>
      </c>
      <c r="AP78" s="39">
        <f>AE78+AO78-AN78</f>
        <v/>
      </c>
      <c r="AQ78" s="39">
        <f>AK78*$B$14</f>
        <v/>
      </c>
      <c r="AR78" s="39">
        <f>AG78-AQ78</f>
        <v/>
      </c>
      <c r="AS78" s="39">
        <f>AH78+AK78*$B$16-AH78/$B$18</f>
        <v/>
      </c>
      <c r="AT78" s="39">
        <f>AK78*'1_Assumptions'!$B$56/365+AL78*'1_Assumptions'!$B$57/365+AK78*'1_Assumptions'!$B$54-AL78*'1_Assumptions'!$B$58/365-AK78*'1_Assumptions'!$B$55</f>
        <v/>
      </c>
      <c r="AU78" s="39">
        <f>AM78*(1-$B$15)+AN78+AQ78+IF($B$19=1,AK78*'1_Assumptions'!$E$32,0)-AO78-(AT78-AI78)</f>
        <v/>
      </c>
      <c r="AV78" s="39">
        <f>AK78*(1+'1_Assumptions'!$E$15)</f>
        <v/>
      </c>
      <c r="AW78" s="39">
        <f>AV78*(1-('1_Assumptions'!$E$21+$B78))</f>
        <v/>
      </c>
      <c r="AX78" s="39">
        <f>AV78-AW78-AV78*$B$11+AV78*$B$12</f>
        <v/>
      </c>
      <c r="AY78" s="39">
        <f>AP78*$B$13</f>
        <v/>
      </c>
      <c r="AZ78" s="39">
        <f>AV78*'1_Assumptions'!$E$27</f>
        <v/>
      </c>
      <c r="BA78" s="39">
        <f>AP78+AZ78-AY78</f>
        <v/>
      </c>
      <c r="BB78" s="39">
        <f>AV78*$B$14</f>
        <v/>
      </c>
      <c r="BC78" s="39">
        <f>AR78-BB78</f>
        <v/>
      </c>
      <c r="BD78" s="39">
        <f>AS78+AV78*$B$16-AS78/$B$18</f>
        <v/>
      </c>
      <c r="BE78" s="39">
        <f>AV78*'1_Assumptions'!$B$56/365+AW78*'1_Assumptions'!$B$57/365+AV78*'1_Assumptions'!$B$54-AW78*'1_Assumptions'!$B$58/365-AV78*'1_Assumptions'!$B$55</f>
        <v/>
      </c>
      <c r="BF78" s="39">
        <f>AX78*(1-$B$15)+AY78+BB78+IF($B$19=1,AV78*'1_Assumptions'!$E$33,0)-AZ78-(BE78-AT78)</f>
        <v/>
      </c>
      <c r="BG78" s="39">
        <f>N78/(1+$B$21)^(1-0.5*$B$23)+Y78/(1+$B$21)^(2-0.5*$B$23)+AJ78/(1+$B$21)^(3-0.5*$B$23)+AU78/(1+$B$21)^(4-0.5*$B$23)+BF78/(1+$B$21)^(5-0.5*$B$23)</f>
        <v/>
      </c>
      <c r="BH78" s="39">
        <f>BE78+BA78+BC78+$B$9+IF($B$17=1,BD78,0)</f>
        <v/>
      </c>
      <c r="BI78" s="19">
        <f>IF($B$32=2,$B$21+$B$33,IF(BH78=0,0,BL78/BH78))</f>
        <v/>
      </c>
      <c r="BJ78" s="19">
        <f>IF(BI78=0,9,$C78/BI78)</f>
        <v/>
      </c>
      <c r="BK78" s="55">
        <f>IF(OR(BH78&lt;=0,BI78&lt;=$B$21,BJ78&gt;=1,BJ78&lt;0),1,0)</f>
        <v/>
      </c>
      <c r="BL78" s="39">
        <f>AX78*(1-$B$20)</f>
        <v/>
      </c>
      <c r="BM78" s="39">
        <f>IF(BK78=1,BL78,AX78*(1+$C78)*(1-$B$20)*(1-BJ78))</f>
        <v/>
      </c>
      <c r="BN78" s="39">
        <f>IF(BK78=1,BL78/$B$21,BM78/($B$21-$C78))</f>
        <v/>
      </c>
      <c r="BO78" s="39">
        <f>BN78/(1+$B$21)^(5-0.5*$B$23)</f>
        <v/>
      </c>
      <c r="BP78" s="39">
        <f>BG78+BO78</f>
        <v/>
      </c>
      <c r="BQ78" s="39">
        <f>BP78*(1+$B$21)^$B$24-N78*$B$24*(1+$B$21)^($B$24/2)</f>
        <v/>
      </c>
      <c r="BR78" s="39">
        <f>BQ78-$B$25+$B$26+$B$27</f>
        <v/>
      </c>
      <c r="BS78" s="39">
        <f>IF($B$28=1,$B$30,BR78*$B$29)</f>
        <v/>
      </c>
      <c r="BT78" s="39">
        <f>BR78-BS78</f>
        <v/>
      </c>
      <c r="BU78" s="58">
        <f>BT78/$B$31</f>
        <v/>
      </c>
    </row>
    <row r="79">
      <c r="A79" s="17" t="inlineStr">
        <is>
          <t>3-3</t>
        </is>
      </c>
      <c r="B79" s="26" t="n">
        <v>0</v>
      </c>
      <c r="C79" s="26" t="n">
        <v>0.025</v>
      </c>
      <c r="D79" s="39">
        <f>$B$5*(1+'1_Assumptions'!$E$11)</f>
        <v/>
      </c>
      <c r="E79" s="39">
        <f>D79*(1-('1_Assumptions'!$E$17+IF('1_Assumptions'!$B$39=1,0,$B79)))</f>
        <v/>
      </c>
      <c r="F79" s="39">
        <f>D79-E79-D79*$B$11+D79*$B$12</f>
        <v/>
      </c>
      <c r="G79" s="39">
        <f>$B$6*$B$13</f>
        <v/>
      </c>
      <c r="H79" s="39">
        <f>D79*'1_Assumptions'!$E$23</f>
        <v/>
      </c>
      <c r="I79" s="39">
        <f>$B$6+H79-G79</f>
        <v/>
      </c>
      <c r="J79" s="39">
        <f>D79*$B$14</f>
        <v/>
      </c>
      <c r="K79" s="39">
        <f>$B$7-J79</f>
        <v/>
      </c>
      <c r="L79" s="39">
        <f>$B$8+D79*$B$16-$B$8/$B$18</f>
        <v/>
      </c>
      <c r="M79" s="39">
        <f>D79*'1_Assumptions'!$B$56/365+E79*'1_Assumptions'!$B$57/365+D79*'1_Assumptions'!$B$54-E79*'1_Assumptions'!$B$58/365-D79*'1_Assumptions'!$B$55</f>
        <v/>
      </c>
      <c r="N79" s="39">
        <f>F79*(1-$B$15)+G79+J79+IF($B$19=1,D79*'1_Assumptions'!$E$29,0)-H79-(M79-$B$10)</f>
        <v/>
      </c>
      <c r="O79" s="39">
        <f>D79*(1+'1_Assumptions'!$E$12)</f>
        <v/>
      </c>
      <c r="P79" s="39">
        <f>O79*(1-('1_Assumptions'!$E$18+$B79))</f>
        <v/>
      </c>
      <c r="Q79" s="39">
        <f>O79-P79-O79*$B$11+O79*$B$12</f>
        <v/>
      </c>
      <c r="R79" s="39">
        <f>I79*$B$13</f>
        <v/>
      </c>
      <c r="S79" s="39">
        <f>O79*'1_Assumptions'!$E$24</f>
        <v/>
      </c>
      <c r="T79" s="39">
        <f>I79+S79-R79</f>
        <v/>
      </c>
      <c r="U79" s="39">
        <f>O79*$B$14</f>
        <v/>
      </c>
      <c r="V79" s="39">
        <f>K79-U79</f>
        <v/>
      </c>
      <c r="W79" s="39">
        <f>L79+O79*$B$16-L79/$B$18</f>
        <v/>
      </c>
      <c r="X79" s="39">
        <f>O79*'1_Assumptions'!$B$56/365+P79*'1_Assumptions'!$B$57/365+O79*'1_Assumptions'!$B$54-P79*'1_Assumptions'!$B$58/365-O79*'1_Assumptions'!$B$55</f>
        <v/>
      </c>
      <c r="Y79" s="39">
        <f>Q79*(1-$B$15)+R79+U79+IF($B$19=1,O79*'1_Assumptions'!$E$30,0)-S79-(X79-M79)</f>
        <v/>
      </c>
      <c r="Z79" s="39">
        <f>O79*(1+'1_Assumptions'!$E$13)</f>
        <v/>
      </c>
      <c r="AA79" s="39">
        <f>Z79*(1-('1_Assumptions'!$E$19+$B79))</f>
        <v/>
      </c>
      <c r="AB79" s="39">
        <f>Z79-AA79-Z79*$B$11+Z79*$B$12</f>
        <v/>
      </c>
      <c r="AC79" s="39">
        <f>T79*$B$13</f>
        <v/>
      </c>
      <c r="AD79" s="39">
        <f>Z79*'1_Assumptions'!$E$25</f>
        <v/>
      </c>
      <c r="AE79" s="39">
        <f>T79+AD79-AC79</f>
        <v/>
      </c>
      <c r="AF79" s="39">
        <f>Z79*$B$14</f>
        <v/>
      </c>
      <c r="AG79" s="39">
        <f>V79-AF79</f>
        <v/>
      </c>
      <c r="AH79" s="39">
        <f>W79+Z79*$B$16-W79/$B$18</f>
        <v/>
      </c>
      <c r="AI79" s="39">
        <f>Z79*'1_Assumptions'!$B$56/365+AA79*'1_Assumptions'!$B$57/365+Z79*'1_Assumptions'!$B$54-AA79*'1_Assumptions'!$B$58/365-Z79*'1_Assumptions'!$B$55</f>
        <v/>
      </c>
      <c r="AJ79" s="39">
        <f>AB79*(1-$B$15)+AC79+AF79+IF($B$19=1,Z79*'1_Assumptions'!$E$31,0)-AD79-(AI79-X79)</f>
        <v/>
      </c>
      <c r="AK79" s="39">
        <f>Z79*(1+'1_Assumptions'!$E$14)</f>
        <v/>
      </c>
      <c r="AL79" s="39">
        <f>AK79*(1-('1_Assumptions'!$E$20+$B79))</f>
        <v/>
      </c>
      <c r="AM79" s="39">
        <f>AK79-AL79-AK79*$B$11+AK79*$B$12</f>
        <v/>
      </c>
      <c r="AN79" s="39">
        <f>AE79*$B$13</f>
        <v/>
      </c>
      <c r="AO79" s="39">
        <f>AK79*'1_Assumptions'!$E$26</f>
        <v/>
      </c>
      <c r="AP79" s="39">
        <f>AE79+AO79-AN79</f>
        <v/>
      </c>
      <c r="AQ79" s="39">
        <f>AK79*$B$14</f>
        <v/>
      </c>
      <c r="AR79" s="39">
        <f>AG79-AQ79</f>
        <v/>
      </c>
      <c r="AS79" s="39">
        <f>AH79+AK79*$B$16-AH79/$B$18</f>
        <v/>
      </c>
      <c r="AT79" s="39">
        <f>AK79*'1_Assumptions'!$B$56/365+AL79*'1_Assumptions'!$B$57/365+AK79*'1_Assumptions'!$B$54-AL79*'1_Assumptions'!$B$58/365-AK79*'1_Assumptions'!$B$55</f>
        <v/>
      </c>
      <c r="AU79" s="39">
        <f>AM79*(1-$B$15)+AN79+AQ79+IF($B$19=1,AK79*'1_Assumptions'!$E$32,0)-AO79-(AT79-AI79)</f>
        <v/>
      </c>
      <c r="AV79" s="39">
        <f>AK79*(1+'1_Assumptions'!$E$15)</f>
        <v/>
      </c>
      <c r="AW79" s="39">
        <f>AV79*(1-('1_Assumptions'!$E$21+$B79))</f>
        <v/>
      </c>
      <c r="AX79" s="39">
        <f>AV79-AW79-AV79*$B$11+AV79*$B$12</f>
        <v/>
      </c>
      <c r="AY79" s="39">
        <f>AP79*$B$13</f>
        <v/>
      </c>
      <c r="AZ79" s="39">
        <f>AV79*'1_Assumptions'!$E$27</f>
        <v/>
      </c>
      <c r="BA79" s="39">
        <f>AP79+AZ79-AY79</f>
        <v/>
      </c>
      <c r="BB79" s="39">
        <f>AV79*$B$14</f>
        <v/>
      </c>
      <c r="BC79" s="39">
        <f>AR79-BB79</f>
        <v/>
      </c>
      <c r="BD79" s="39">
        <f>AS79+AV79*$B$16-AS79/$B$18</f>
        <v/>
      </c>
      <c r="BE79" s="39">
        <f>AV79*'1_Assumptions'!$B$56/365+AW79*'1_Assumptions'!$B$57/365+AV79*'1_Assumptions'!$B$54-AW79*'1_Assumptions'!$B$58/365-AV79*'1_Assumptions'!$B$55</f>
        <v/>
      </c>
      <c r="BF79" s="39">
        <f>AX79*(1-$B$15)+AY79+BB79+IF($B$19=1,AV79*'1_Assumptions'!$E$33,0)-AZ79-(BE79-AT79)</f>
        <v/>
      </c>
      <c r="BG79" s="39">
        <f>N79/(1+$B$21)^(1-0.5*$B$23)+Y79/(1+$B$21)^(2-0.5*$B$23)+AJ79/(1+$B$21)^(3-0.5*$B$23)+AU79/(1+$B$21)^(4-0.5*$B$23)+BF79/(1+$B$21)^(5-0.5*$B$23)</f>
        <v/>
      </c>
      <c r="BH79" s="39">
        <f>BE79+BA79+BC79+$B$9+IF($B$17=1,BD79,0)</f>
        <v/>
      </c>
      <c r="BI79" s="19">
        <f>IF($B$32=2,$B$21+$B$33,IF(BH79=0,0,BL79/BH79))</f>
        <v/>
      </c>
      <c r="BJ79" s="19">
        <f>IF(BI79=0,9,$C79/BI79)</f>
        <v/>
      </c>
      <c r="BK79" s="55">
        <f>IF(OR(BH79&lt;=0,BI79&lt;=$B$21,BJ79&gt;=1,BJ79&lt;0),1,0)</f>
        <v/>
      </c>
      <c r="BL79" s="39">
        <f>AX79*(1-$B$20)</f>
        <v/>
      </c>
      <c r="BM79" s="39">
        <f>IF(BK79=1,BL79,AX79*(1+$C79)*(1-$B$20)*(1-BJ79))</f>
        <v/>
      </c>
      <c r="BN79" s="39">
        <f>IF(BK79=1,BL79/$B$21,BM79/($B$21-$C79))</f>
        <v/>
      </c>
      <c r="BO79" s="39">
        <f>BN79/(1+$B$21)^(5-0.5*$B$23)</f>
        <v/>
      </c>
      <c r="BP79" s="39">
        <f>BG79+BO79</f>
        <v/>
      </c>
      <c r="BQ79" s="39">
        <f>BP79*(1+$B$21)^$B$24-N79*$B$24*(1+$B$21)^($B$24/2)</f>
        <v/>
      </c>
      <c r="BR79" s="39">
        <f>BQ79-$B$25+$B$26+$B$27</f>
        <v/>
      </c>
      <c r="BS79" s="39">
        <f>IF($B$28=1,$B$30,BR79*$B$29)</f>
        <v/>
      </c>
      <c r="BT79" s="39">
        <f>BR79-BS79</f>
        <v/>
      </c>
      <c r="BU79" s="58">
        <f>BT79/$B$31</f>
        <v/>
      </c>
    </row>
    <row r="80">
      <c r="A80" s="17" t="inlineStr">
        <is>
          <t>3-4</t>
        </is>
      </c>
      <c r="B80" s="26" t="n">
        <v>0</v>
      </c>
      <c r="C80" s="26" t="n">
        <v>0.0325</v>
      </c>
      <c r="D80" s="39">
        <f>$B$5*(1+'1_Assumptions'!$E$11)</f>
        <v/>
      </c>
      <c r="E80" s="39">
        <f>D80*(1-('1_Assumptions'!$E$17+IF('1_Assumptions'!$B$39=1,0,$B80)))</f>
        <v/>
      </c>
      <c r="F80" s="39">
        <f>D80-E80-D80*$B$11+D80*$B$12</f>
        <v/>
      </c>
      <c r="G80" s="39">
        <f>$B$6*$B$13</f>
        <v/>
      </c>
      <c r="H80" s="39">
        <f>D80*'1_Assumptions'!$E$23</f>
        <v/>
      </c>
      <c r="I80" s="39">
        <f>$B$6+H80-G80</f>
        <v/>
      </c>
      <c r="J80" s="39">
        <f>D80*$B$14</f>
        <v/>
      </c>
      <c r="K80" s="39">
        <f>$B$7-J80</f>
        <v/>
      </c>
      <c r="L80" s="39">
        <f>$B$8+D80*$B$16-$B$8/$B$18</f>
        <v/>
      </c>
      <c r="M80" s="39">
        <f>D80*'1_Assumptions'!$B$56/365+E80*'1_Assumptions'!$B$57/365+D80*'1_Assumptions'!$B$54-E80*'1_Assumptions'!$B$58/365-D80*'1_Assumptions'!$B$55</f>
        <v/>
      </c>
      <c r="N80" s="39">
        <f>F80*(1-$B$15)+G80+J80+IF($B$19=1,D80*'1_Assumptions'!$E$29,0)-H80-(M80-$B$10)</f>
        <v/>
      </c>
      <c r="O80" s="39">
        <f>D80*(1+'1_Assumptions'!$E$12)</f>
        <v/>
      </c>
      <c r="P80" s="39">
        <f>O80*(1-('1_Assumptions'!$E$18+$B80))</f>
        <v/>
      </c>
      <c r="Q80" s="39">
        <f>O80-P80-O80*$B$11+O80*$B$12</f>
        <v/>
      </c>
      <c r="R80" s="39">
        <f>I80*$B$13</f>
        <v/>
      </c>
      <c r="S80" s="39">
        <f>O80*'1_Assumptions'!$E$24</f>
        <v/>
      </c>
      <c r="T80" s="39">
        <f>I80+S80-R80</f>
        <v/>
      </c>
      <c r="U80" s="39">
        <f>O80*$B$14</f>
        <v/>
      </c>
      <c r="V80" s="39">
        <f>K80-U80</f>
        <v/>
      </c>
      <c r="W80" s="39">
        <f>L80+O80*$B$16-L80/$B$18</f>
        <v/>
      </c>
      <c r="X80" s="39">
        <f>O80*'1_Assumptions'!$B$56/365+P80*'1_Assumptions'!$B$57/365+O80*'1_Assumptions'!$B$54-P80*'1_Assumptions'!$B$58/365-O80*'1_Assumptions'!$B$55</f>
        <v/>
      </c>
      <c r="Y80" s="39">
        <f>Q80*(1-$B$15)+R80+U80+IF($B$19=1,O80*'1_Assumptions'!$E$30,0)-S80-(X80-M80)</f>
        <v/>
      </c>
      <c r="Z80" s="39">
        <f>O80*(1+'1_Assumptions'!$E$13)</f>
        <v/>
      </c>
      <c r="AA80" s="39">
        <f>Z80*(1-('1_Assumptions'!$E$19+$B80))</f>
        <v/>
      </c>
      <c r="AB80" s="39">
        <f>Z80-AA80-Z80*$B$11+Z80*$B$12</f>
        <v/>
      </c>
      <c r="AC80" s="39">
        <f>T80*$B$13</f>
        <v/>
      </c>
      <c r="AD80" s="39">
        <f>Z80*'1_Assumptions'!$E$25</f>
        <v/>
      </c>
      <c r="AE80" s="39">
        <f>T80+AD80-AC80</f>
        <v/>
      </c>
      <c r="AF80" s="39">
        <f>Z80*$B$14</f>
        <v/>
      </c>
      <c r="AG80" s="39">
        <f>V80-AF80</f>
        <v/>
      </c>
      <c r="AH80" s="39">
        <f>W80+Z80*$B$16-W80/$B$18</f>
        <v/>
      </c>
      <c r="AI80" s="39">
        <f>Z80*'1_Assumptions'!$B$56/365+AA80*'1_Assumptions'!$B$57/365+Z80*'1_Assumptions'!$B$54-AA80*'1_Assumptions'!$B$58/365-Z80*'1_Assumptions'!$B$55</f>
        <v/>
      </c>
      <c r="AJ80" s="39">
        <f>AB80*(1-$B$15)+AC80+AF80+IF($B$19=1,Z80*'1_Assumptions'!$E$31,0)-AD80-(AI80-X80)</f>
        <v/>
      </c>
      <c r="AK80" s="39">
        <f>Z80*(1+'1_Assumptions'!$E$14)</f>
        <v/>
      </c>
      <c r="AL80" s="39">
        <f>AK80*(1-('1_Assumptions'!$E$20+$B80))</f>
        <v/>
      </c>
      <c r="AM80" s="39">
        <f>AK80-AL80-AK80*$B$11+AK80*$B$12</f>
        <v/>
      </c>
      <c r="AN80" s="39">
        <f>AE80*$B$13</f>
        <v/>
      </c>
      <c r="AO80" s="39">
        <f>AK80*'1_Assumptions'!$E$26</f>
        <v/>
      </c>
      <c r="AP80" s="39">
        <f>AE80+AO80-AN80</f>
        <v/>
      </c>
      <c r="AQ80" s="39">
        <f>AK80*$B$14</f>
        <v/>
      </c>
      <c r="AR80" s="39">
        <f>AG80-AQ80</f>
        <v/>
      </c>
      <c r="AS80" s="39">
        <f>AH80+AK80*$B$16-AH80/$B$18</f>
        <v/>
      </c>
      <c r="AT80" s="39">
        <f>AK80*'1_Assumptions'!$B$56/365+AL80*'1_Assumptions'!$B$57/365+AK80*'1_Assumptions'!$B$54-AL80*'1_Assumptions'!$B$58/365-AK80*'1_Assumptions'!$B$55</f>
        <v/>
      </c>
      <c r="AU80" s="39">
        <f>AM80*(1-$B$15)+AN80+AQ80+IF($B$19=1,AK80*'1_Assumptions'!$E$32,0)-AO80-(AT80-AI80)</f>
        <v/>
      </c>
      <c r="AV80" s="39">
        <f>AK80*(1+'1_Assumptions'!$E$15)</f>
        <v/>
      </c>
      <c r="AW80" s="39">
        <f>AV80*(1-('1_Assumptions'!$E$21+$B80))</f>
        <v/>
      </c>
      <c r="AX80" s="39">
        <f>AV80-AW80-AV80*$B$11+AV80*$B$12</f>
        <v/>
      </c>
      <c r="AY80" s="39">
        <f>AP80*$B$13</f>
        <v/>
      </c>
      <c r="AZ80" s="39">
        <f>AV80*'1_Assumptions'!$E$27</f>
        <v/>
      </c>
      <c r="BA80" s="39">
        <f>AP80+AZ80-AY80</f>
        <v/>
      </c>
      <c r="BB80" s="39">
        <f>AV80*$B$14</f>
        <v/>
      </c>
      <c r="BC80" s="39">
        <f>AR80-BB80</f>
        <v/>
      </c>
      <c r="BD80" s="39">
        <f>AS80+AV80*$B$16-AS80/$B$18</f>
        <v/>
      </c>
      <c r="BE80" s="39">
        <f>AV80*'1_Assumptions'!$B$56/365+AW80*'1_Assumptions'!$B$57/365+AV80*'1_Assumptions'!$B$54-AW80*'1_Assumptions'!$B$58/365-AV80*'1_Assumptions'!$B$55</f>
        <v/>
      </c>
      <c r="BF80" s="39">
        <f>AX80*(1-$B$15)+AY80+BB80+IF($B$19=1,AV80*'1_Assumptions'!$E$33,0)-AZ80-(BE80-AT80)</f>
        <v/>
      </c>
      <c r="BG80" s="39">
        <f>N80/(1+$B$21)^(1-0.5*$B$23)+Y80/(1+$B$21)^(2-0.5*$B$23)+AJ80/(1+$B$21)^(3-0.5*$B$23)+AU80/(1+$B$21)^(4-0.5*$B$23)+BF80/(1+$B$21)^(5-0.5*$B$23)</f>
        <v/>
      </c>
      <c r="BH80" s="39">
        <f>BE80+BA80+BC80+$B$9+IF($B$17=1,BD80,0)</f>
        <v/>
      </c>
      <c r="BI80" s="19">
        <f>IF($B$32=2,$B$21+$B$33,IF(BH80=0,0,BL80/BH80))</f>
        <v/>
      </c>
      <c r="BJ80" s="19">
        <f>IF(BI80=0,9,$C80/BI80)</f>
        <v/>
      </c>
      <c r="BK80" s="55">
        <f>IF(OR(BH80&lt;=0,BI80&lt;=$B$21,BJ80&gt;=1,BJ80&lt;0),1,0)</f>
        <v/>
      </c>
      <c r="BL80" s="39">
        <f>AX80*(1-$B$20)</f>
        <v/>
      </c>
      <c r="BM80" s="39">
        <f>IF(BK80=1,BL80,AX80*(1+$C80)*(1-$B$20)*(1-BJ80))</f>
        <v/>
      </c>
      <c r="BN80" s="39">
        <f>IF(BK80=1,BL80/$B$21,BM80/($B$21-$C80))</f>
        <v/>
      </c>
      <c r="BO80" s="39">
        <f>BN80/(1+$B$21)^(5-0.5*$B$23)</f>
        <v/>
      </c>
      <c r="BP80" s="39">
        <f>BG80+BO80</f>
        <v/>
      </c>
      <c r="BQ80" s="39">
        <f>BP80*(1+$B$21)^$B$24-N80*$B$24*(1+$B$21)^($B$24/2)</f>
        <v/>
      </c>
      <c r="BR80" s="39">
        <f>BQ80-$B$25+$B$26+$B$27</f>
        <v/>
      </c>
      <c r="BS80" s="39">
        <f>IF($B$28=1,$B$30,BR80*$B$29)</f>
        <v/>
      </c>
      <c r="BT80" s="39">
        <f>BR80-BS80</f>
        <v/>
      </c>
      <c r="BU80" s="58">
        <f>BT80/$B$31</f>
        <v/>
      </c>
    </row>
    <row r="81">
      <c r="A81" s="17" t="inlineStr">
        <is>
          <t>3-5</t>
        </is>
      </c>
      <c r="B81" s="26" t="n">
        <v>0</v>
      </c>
      <c r="C81" s="26" t="n">
        <v>0.04</v>
      </c>
      <c r="D81" s="39">
        <f>$B$5*(1+'1_Assumptions'!$E$11)</f>
        <v/>
      </c>
      <c r="E81" s="39">
        <f>D81*(1-('1_Assumptions'!$E$17+IF('1_Assumptions'!$B$39=1,0,$B81)))</f>
        <v/>
      </c>
      <c r="F81" s="39">
        <f>D81-E81-D81*$B$11+D81*$B$12</f>
        <v/>
      </c>
      <c r="G81" s="39">
        <f>$B$6*$B$13</f>
        <v/>
      </c>
      <c r="H81" s="39">
        <f>D81*'1_Assumptions'!$E$23</f>
        <v/>
      </c>
      <c r="I81" s="39">
        <f>$B$6+H81-G81</f>
        <v/>
      </c>
      <c r="J81" s="39">
        <f>D81*$B$14</f>
        <v/>
      </c>
      <c r="K81" s="39">
        <f>$B$7-J81</f>
        <v/>
      </c>
      <c r="L81" s="39">
        <f>$B$8+D81*$B$16-$B$8/$B$18</f>
        <v/>
      </c>
      <c r="M81" s="39">
        <f>D81*'1_Assumptions'!$B$56/365+E81*'1_Assumptions'!$B$57/365+D81*'1_Assumptions'!$B$54-E81*'1_Assumptions'!$B$58/365-D81*'1_Assumptions'!$B$55</f>
        <v/>
      </c>
      <c r="N81" s="39">
        <f>F81*(1-$B$15)+G81+J81+IF($B$19=1,D81*'1_Assumptions'!$E$29,0)-H81-(M81-$B$10)</f>
        <v/>
      </c>
      <c r="O81" s="39">
        <f>D81*(1+'1_Assumptions'!$E$12)</f>
        <v/>
      </c>
      <c r="P81" s="39">
        <f>O81*(1-('1_Assumptions'!$E$18+$B81))</f>
        <v/>
      </c>
      <c r="Q81" s="39">
        <f>O81-P81-O81*$B$11+O81*$B$12</f>
        <v/>
      </c>
      <c r="R81" s="39">
        <f>I81*$B$13</f>
        <v/>
      </c>
      <c r="S81" s="39">
        <f>O81*'1_Assumptions'!$E$24</f>
        <v/>
      </c>
      <c r="T81" s="39">
        <f>I81+S81-R81</f>
        <v/>
      </c>
      <c r="U81" s="39">
        <f>O81*$B$14</f>
        <v/>
      </c>
      <c r="V81" s="39">
        <f>K81-U81</f>
        <v/>
      </c>
      <c r="W81" s="39">
        <f>L81+O81*$B$16-L81/$B$18</f>
        <v/>
      </c>
      <c r="X81" s="39">
        <f>O81*'1_Assumptions'!$B$56/365+P81*'1_Assumptions'!$B$57/365+O81*'1_Assumptions'!$B$54-P81*'1_Assumptions'!$B$58/365-O81*'1_Assumptions'!$B$55</f>
        <v/>
      </c>
      <c r="Y81" s="39">
        <f>Q81*(1-$B$15)+R81+U81+IF($B$19=1,O81*'1_Assumptions'!$E$30,0)-S81-(X81-M81)</f>
        <v/>
      </c>
      <c r="Z81" s="39">
        <f>O81*(1+'1_Assumptions'!$E$13)</f>
        <v/>
      </c>
      <c r="AA81" s="39">
        <f>Z81*(1-('1_Assumptions'!$E$19+$B81))</f>
        <v/>
      </c>
      <c r="AB81" s="39">
        <f>Z81-AA81-Z81*$B$11+Z81*$B$12</f>
        <v/>
      </c>
      <c r="AC81" s="39">
        <f>T81*$B$13</f>
        <v/>
      </c>
      <c r="AD81" s="39">
        <f>Z81*'1_Assumptions'!$E$25</f>
        <v/>
      </c>
      <c r="AE81" s="39">
        <f>T81+AD81-AC81</f>
        <v/>
      </c>
      <c r="AF81" s="39">
        <f>Z81*$B$14</f>
        <v/>
      </c>
      <c r="AG81" s="39">
        <f>V81-AF81</f>
        <v/>
      </c>
      <c r="AH81" s="39">
        <f>W81+Z81*$B$16-W81/$B$18</f>
        <v/>
      </c>
      <c r="AI81" s="39">
        <f>Z81*'1_Assumptions'!$B$56/365+AA81*'1_Assumptions'!$B$57/365+Z81*'1_Assumptions'!$B$54-AA81*'1_Assumptions'!$B$58/365-Z81*'1_Assumptions'!$B$55</f>
        <v/>
      </c>
      <c r="AJ81" s="39">
        <f>AB81*(1-$B$15)+AC81+AF81+IF($B$19=1,Z81*'1_Assumptions'!$E$31,0)-AD81-(AI81-X81)</f>
        <v/>
      </c>
      <c r="AK81" s="39">
        <f>Z81*(1+'1_Assumptions'!$E$14)</f>
        <v/>
      </c>
      <c r="AL81" s="39">
        <f>AK81*(1-('1_Assumptions'!$E$20+$B81))</f>
        <v/>
      </c>
      <c r="AM81" s="39">
        <f>AK81-AL81-AK81*$B$11+AK81*$B$12</f>
        <v/>
      </c>
      <c r="AN81" s="39">
        <f>AE81*$B$13</f>
        <v/>
      </c>
      <c r="AO81" s="39">
        <f>AK81*'1_Assumptions'!$E$26</f>
        <v/>
      </c>
      <c r="AP81" s="39">
        <f>AE81+AO81-AN81</f>
        <v/>
      </c>
      <c r="AQ81" s="39">
        <f>AK81*$B$14</f>
        <v/>
      </c>
      <c r="AR81" s="39">
        <f>AG81-AQ81</f>
        <v/>
      </c>
      <c r="AS81" s="39">
        <f>AH81+AK81*$B$16-AH81/$B$18</f>
        <v/>
      </c>
      <c r="AT81" s="39">
        <f>AK81*'1_Assumptions'!$B$56/365+AL81*'1_Assumptions'!$B$57/365+AK81*'1_Assumptions'!$B$54-AL81*'1_Assumptions'!$B$58/365-AK81*'1_Assumptions'!$B$55</f>
        <v/>
      </c>
      <c r="AU81" s="39">
        <f>AM81*(1-$B$15)+AN81+AQ81+IF($B$19=1,AK81*'1_Assumptions'!$E$32,0)-AO81-(AT81-AI81)</f>
        <v/>
      </c>
      <c r="AV81" s="39">
        <f>AK81*(1+'1_Assumptions'!$E$15)</f>
        <v/>
      </c>
      <c r="AW81" s="39">
        <f>AV81*(1-('1_Assumptions'!$E$21+$B81))</f>
        <v/>
      </c>
      <c r="AX81" s="39">
        <f>AV81-AW81-AV81*$B$11+AV81*$B$12</f>
        <v/>
      </c>
      <c r="AY81" s="39">
        <f>AP81*$B$13</f>
        <v/>
      </c>
      <c r="AZ81" s="39">
        <f>AV81*'1_Assumptions'!$E$27</f>
        <v/>
      </c>
      <c r="BA81" s="39">
        <f>AP81+AZ81-AY81</f>
        <v/>
      </c>
      <c r="BB81" s="39">
        <f>AV81*$B$14</f>
        <v/>
      </c>
      <c r="BC81" s="39">
        <f>AR81-BB81</f>
        <v/>
      </c>
      <c r="BD81" s="39">
        <f>AS81+AV81*$B$16-AS81/$B$18</f>
        <v/>
      </c>
      <c r="BE81" s="39">
        <f>AV81*'1_Assumptions'!$B$56/365+AW81*'1_Assumptions'!$B$57/365+AV81*'1_Assumptions'!$B$54-AW81*'1_Assumptions'!$B$58/365-AV81*'1_Assumptions'!$B$55</f>
        <v/>
      </c>
      <c r="BF81" s="39">
        <f>AX81*(1-$B$15)+AY81+BB81+IF($B$19=1,AV81*'1_Assumptions'!$E$33,0)-AZ81-(BE81-AT81)</f>
        <v/>
      </c>
      <c r="BG81" s="39">
        <f>N81/(1+$B$21)^(1-0.5*$B$23)+Y81/(1+$B$21)^(2-0.5*$B$23)+AJ81/(1+$B$21)^(3-0.5*$B$23)+AU81/(1+$B$21)^(4-0.5*$B$23)+BF81/(1+$B$21)^(5-0.5*$B$23)</f>
        <v/>
      </c>
      <c r="BH81" s="39">
        <f>BE81+BA81+BC81+$B$9+IF($B$17=1,BD81,0)</f>
        <v/>
      </c>
      <c r="BI81" s="19">
        <f>IF($B$32=2,$B$21+$B$33,IF(BH81=0,0,BL81/BH81))</f>
        <v/>
      </c>
      <c r="BJ81" s="19">
        <f>IF(BI81=0,9,$C81/BI81)</f>
        <v/>
      </c>
      <c r="BK81" s="55">
        <f>IF(OR(BH81&lt;=0,BI81&lt;=$B$21,BJ81&gt;=1,BJ81&lt;0),1,0)</f>
        <v/>
      </c>
      <c r="BL81" s="39">
        <f>AX81*(1-$B$20)</f>
        <v/>
      </c>
      <c r="BM81" s="39">
        <f>IF(BK81=1,BL81,AX81*(1+$C81)*(1-$B$20)*(1-BJ81))</f>
        <v/>
      </c>
      <c r="BN81" s="39">
        <f>IF(BK81=1,BL81/$B$21,BM81/($B$21-$C81))</f>
        <v/>
      </c>
      <c r="BO81" s="39">
        <f>BN81/(1+$B$21)^(5-0.5*$B$23)</f>
        <v/>
      </c>
      <c r="BP81" s="39">
        <f>BG81+BO81</f>
        <v/>
      </c>
      <c r="BQ81" s="39">
        <f>BP81*(1+$B$21)^$B$24-N81*$B$24*(1+$B$21)^($B$24/2)</f>
        <v/>
      </c>
      <c r="BR81" s="39">
        <f>BQ81-$B$25+$B$26+$B$27</f>
        <v/>
      </c>
      <c r="BS81" s="39">
        <f>IF($B$28=1,$B$30,BR81*$B$29)</f>
        <v/>
      </c>
      <c r="BT81" s="39">
        <f>BR81-BS81</f>
        <v/>
      </c>
      <c r="BU81" s="58">
        <f>BT81/$B$31</f>
        <v/>
      </c>
    </row>
    <row r="82">
      <c r="A82" s="17" t="inlineStr">
        <is>
          <t>4-1</t>
        </is>
      </c>
      <c r="B82" s="26" t="n">
        <v>0.02</v>
      </c>
      <c r="C82" s="26" t="n">
        <v>0.01</v>
      </c>
      <c r="D82" s="39">
        <f>$B$5*(1+'1_Assumptions'!$E$11)</f>
        <v/>
      </c>
      <c r="E82" s="39">
        <f>D82*(1-('1_Assumptions'!$E$17+IF('1_Assumptions'!$B$39=1,0,$B82)))</f>
        <v/>
      </c>
      <c r="F82" s="39">
        <f>D82-E82-D82*$B$11+D82*$B$12</f>
        <v/>
      </c>
      <c r="G82" s="39">
        <f>$B$6*$B$13</f>
        <v/>
      </c>
      <c r="H82" s="39">
        <f>D82*'1_Assumptions'!$E$23</f>
        <v/>
      </c>
      <c r="I82" s="39">
        <f>$B$6+H82-G82</f>
        <v/>
      </c>
      <c r="J82" s="39">
        <f>D82*$B$14</f>
        <v/>
      </c>
      <c r="K82" s="39">
        <f>$B$7-J82</f>
        <v/>
      </c>
      <c r="L82" s="39">
        <f>$B$8+D82*$B$16-$B$8/$B$18</f>
        <v/>
      </c>
      <c r="M82" s="39">
        <f>D82*'1_Assumptions'!$B$56/365+E82*'1_Assumptions'!$B$57/365+D82*'1_Assumptions'!$B$54-E82*'1_Assumptions'!$B$58/365-D82*'1_Assumptions'!$B$55</f>
        <v/>
      </c>
      <c r="N82" s="39">
        <f>F82*(1-$B$15)+G82+J82+IF($B$19=1,D82*'1_Assumptions'!$E$29,0)-H82-(M82-$B$10)</f>
        <v/>
      </c>
      <c r="O82" s="39">
        <f>D82*(1+'1_Assumptions'!$E$12)</f>
        <v/>
      </c>
      <c r="P82" s="39">
        <f>O82*(1-('1_Assumptions'!$E$18+$B82))</f>
        <v/>
      </c>
      <c r="Q82" s="39">
        <f>O82-P82-O82*$B$11+O82*$B$12</f>
        <v/>
      </c>
      <c r="R82" s="39">
        <f>I82*$B$13</f>
        <v/>
      </c>
      <c r="S82" s="39">
        <f>O82*'1_Assumptions'!$E$24</f>
        <v/>
      </c>
      <c r="T82" s="39">
        <f>I82+S82-R82</f>
        <v/>
      </c>
      <c r="U82" s="39">
        <f>O82*$B$14</f>
        <v/>
      </c>
      <c r="V82" s="39">
        <f>K82-U82</f>
        <v/>
      </c>
      <c r="W82" s="39">
        <f>L82+O82*$B$16-L82/$B$18</f>
        <v/>
      </c>
      <c r="X82" s="39">
        <f>O82*'1_Assumptions'!$B$56/365+P82*'1_Assumptions'!$B$57/365+O82*'1_Assumptions'!$B$54-P82*'1_Assumptions'!$B$58/365-O82*'1_Assumptions'!$B$55</f>
        <v/>
      </c>
      <c r="Y82" s="39">
        <f>Q82*(1-$B$15)+R82+U82+IF($B$19=1,O82*'1_Assumptions'!$E$30,0)-S82-(X82-M82)</f>
        <v/>
      </c>
      <c r="Z82" s="39">
        <f>O82*(1+'1_Assumptions'!$E$13)</f>
        <v/>
      </c>
      <c r="AA82" s="39">
        <f>Z82*(1-('1_Assumptions'!$E$19+$B82))</f>
        <v/>
      </c>
      <c r="AB82" s="39">
        <f>Z82-AA82-Z82*$B$11+Z82*$B$12</f>
        <v/>
      </c>
      <c r="AC82" s="39">
        <f>T82*$B$13</f>
        <v/>
      </c>
      <c r="AD82" s="39">
        <f>Z82*'1_Assumptions'!$E$25</f>
        <v/>
      </c>
      <c r="AE82" s="39">
        <f>T82+AD82-AC82</f>
        <v/>
      </c>
      <c r="AF82" s="39">
        <f>Z82*$B$14</f>
        <v/>
      </c>
      <c r="AG82" s="39">
        <f>V82-AF82</f>
        <v/>
      </c>
      <c r="AH82" s="39">
        <f>W82+Z82*$B$16-W82/$B$18</f>
        <v/>
      </c>
      <c r="AI82" s="39">
        <f>Z82*'1_Assumptions'!$B$56/365+AA82*'1_Assumptions'!$B$57/365+Z82*'1_Assumptions'!$B$54-AA82*'1_Assumptions'!$B$58/365-Z82*'1_Assumptions'!$B$55</f>
        <v/>
      </c>
      <c r="AJ82" s="39">
        <f>AB82*(1-$B$15)+AC82+AF82+IF($B$19=1,Z82*'1_Assumptions'!$E$31,0)-AD82-(AI82-X82)</f>
        <v/>
      </c>
      <c r="AK82" s="39">
        <f>Z82*(1+'1_Assumptions'!$E$14)</f>
        <v/>
      </c>
      <c r="AL82" s="39">
        <f>AK82*(1-('1_Assumptions'!$E$20+$B82))</f>
        <v/>
      </c>
      <c r="AM82" s="39">
        <f>AK82-AL82-AK82*$B$11+AK82*$B$12</f>
        <v/>
      </c>
      <c r="AN82" s="39">
        <f>AE82*$B$13</f>
        <v/>
      </c>
      <c r="AO82" s="39">
        <f>AK82*'1_Assumptions'!$E$26</f>
        <v/>
      </c>
      <c r="AP82" s="39">
        <f>AE82+AO82-AN82</f>
        <v/>
      </c>
      <c r="AQ82" s="39">
        <f>AK82*$B$14</f>
        <v/>
      </c>
      <c r="AR82" s="39">
        <f>AG82-AQ82</f>
        <v/>
      </c>
      <c r="AS82" s="39">
        <f>AH82+AK82*$B$16-AH82/$B$18</f>
        <v/>
      </c>
      <c r="AT82" s="39">
        <f>AK82*'1_Assumptions'!$B$56/365+AL82*'1_Assumptions'!$B$57/365+AK82*'1_Assumptions'!$B$54-AL82*'1_Assumptions'!$B$58/365-AK82*'1_Assumptions'!$B$55</f>
        <v/>
      </c>
      <c r="AU82" s="39">
        <f>AM82*(1-$B$15)+AN82+AQ82+IF($B$19=1,AK82*'1_Assumptions'!$E$32,0)-AO82-(AT82-AI82)</f>
        <v/>
      </c>
      <c r="AV82" s="39">
        <f>AK82*(1+'1_Assumptions'!$E$15)</f>
        <v/>
      </c>
      <c r="AW82" s="39">
        <f>AV82*(1-('1_Assumptions'!$E$21+$B82))</f>
        <v/>
      </c>
      <c r="AX82" s="39">
        <f>AV82-AW82-AV82*$B$11+AV82*$B$12</f>
        <v/>
      </c>
      <c r="AY82" s="39">
        <f>AP82*$B$13</f>
        <v/>
      </c>
      <c r="AZ82" s="39">
        <f>AV82*'1_Assumptions'!$E$27</f>
        <v/>
      </c>
      <c r="BA82" s="39">
        <f>AP82+AZ82-AY82</f>
        <v/>
      </c>
      <c r="BB82" s="39">
        <f>AV82*$B$14</f>
        <v/>
      </c>
      <c r="BC82" s="39">
        <f>AR82-BB82</f>
        <v/>
      </c>
      <c r="BD82" s="39">
        <f>AS82+AV82*$B$16-AS82/$B$18</f>
        <v/>
      </c>
      <c r="BE82" s="39">
        <f>AV82*'1_Assumptions'!$B$56/365+AW82*'1_Assumptions'!$B$57/365+AV82*'1_Assumptions'!$B$54-AW82*'1_Assumptions'!$B$58/365-AV82*'1_Assumptions'!$B$55</f>
        <v/>
      </c>
      <c r="BF82" s="39">
        <f>AX82*(1-$B$15)+AY82+BB82+IF($B$19=1,AV82*'1_Assumptions'!$E$33,0)-AZ82-(BE82-AT82)</f>
        <v/>
      </c>
      <c r="BG82" s="39">
        <f>N82/(1+$B$21)^(1-0.5*$B$23)+Y82/(1+$B$21)^(2-0.5*$B$23)+AJ82/(1+$B$21)^(3-0.5*$B$23)+AU82/(1+$B$21)^(4-0.5*$B$23)+BF82/(1+$B$21)^(5-0.5*$B$23)</f>
        <v/>
      </c>
      <c r="BH82" s="39">
        <f>BE82+BA82+BC82+$B$9+IF($B$17=1,BD82,0)</f>
        <v/>
      </c>
      <c r="BI82" s="19">
        <f>IF($B$32=2,$B$21+$B$33,IF(BH82=0,0,BL82/BH82))</f>
        <v/>
      </c>
      <c r="BJ82" s="19">
        <f>IF(BI82=0,9,$C82/BI82)</f>
        <v/>
      </c>
      <c r="BK82" s="55">
        <f>IF(OR(BH82&lt;=0,BI82&lt;=$B$21,BJ82&gt;=1,BJ82&lt;0),1,0)</f>
        <v/>
      </c>
      <c r="BL82" s="39">
        <f>AX82*(1-$B$20)</f>
        <v/>
      </c>
      <c r="BM82" s="39">
        <f>IF(BK82=1,BL82,AX82*(1+$C82)*(1-$B$20)*(1-BJ82))</f>
        <v/>
      </c>
      <c r="BN82" s="39">
        <f>IF(BK82=1,BL82/$B$21,BM82/($B$21-$C82))</f>
        <v/>
      </c>
      <c r="BO82" s="39">
        <f>BN82/(1+$B$21)^(5-0.5*$B$23)</f>
        <v/>
      </c>
      <c r="BP82" s="39">
        <f>BG82+BO82</f>
        <v/>
      </c>
      <c r="BQ82" s="39">
        <f>BP82*(1+$B$21)^$B$24-N82*$B$24*(1+$B$21)^($B$24/2)</f>
        <v/>
      </c>
      <c r="BR82" s="39">
        <f>BQ82-$B$25+$B$26+$B$27</f>
        <v/>
      </c>
      <c r="BS82" s="39">
        <f>IF($B$28=1,$B$30,BR82*$B$29)</f>
        <v/>
      </c>
      <c r="BT82" s="39">
        <f>BR82-BS82</f>
        <v/>
      </c>
      <c r="BU82" s="58">
        <f>BT82/$B$31</f>
        <v/>
      </c>
    </row>
    <row r="83">
      <c r="A83" s="17" t="inlineStr">
        <is>
          <t>4-2</t>
        </is>
      </c>
      <c r="B83" s="26" t="n">
        <v>0.02</v>
      </c>
      <c r="C83" s="26" t="n">
        <v>0.0175</v>
      </c>
      <c r="D83" s="39">
        <f>$B$5*(1+'1_Assumptions'!$E$11)</f>
        <v/>
      </c>
      <c r="E83" s="39">
        <f>D83*(1-('1_Assumptions'!$E$17+IF('1_Assumptions'!$B$39=1,0,$B83)))</f>
        <v/>
      </c>
      <c r="F83" s="39">
        <f>D83-E83-D83*$B$11+D83*$B$12</f>
        <v/>
      </c>
      <c r="G83" s="39">
        <f>$B$6*$B$13</f>
        <v/>
      </c>
      <c r="H83" s="39">
        <f>D83*'1_Assumptions'!$E$23</f>
        <v/>
      </c>
      <c r="I83" s="39">
        <f>$B$6+H83-G83</f>
        <v/>
      </c>
      <c r="J83" s="39">
        <f>D83*$B$14</f>
        <v/>
      </c>
      <c r="K83" s="39">
        <f>$B$7-J83</f>
        <v/>
      </c>
      <c r="L83" s="39">
        <f>$B$8+D83*$B$16-$B$8/$B$18</f>
        <v/>
      </c>
      <c r="M83" s="39">
        <f>D83*'1_Assumptions'!$B$56/365+E83*'1_Assumptions'!$B$57/365+D83*'1_Assumptions'!$B$54-E83*'1_Assumptions'!$B$58/365-D83*'1_Assumptions'!$B$55</f>
        <v/>
      </c>
      <c r="N83" s="39">
        <f>F83*(1-$B$15)+G83+J83+IF($B$19=1,D83*'1_Assumptions'!$E$29,0)-H83-(M83-$B$10)</f>
        <v/>
      </c>
      <c r="O83" s="39">
        <f>D83*(1+'1_Assumptions'!$E$12)</f>
        <v/>
      </c>
      <c r="P83" s="39">
        <f>O83*(1-('1_Assumptions'!$E$18+$B83))</f>
        <v/>
      </c>
      <c r="Q83" s="39">
        <f>O83-P83-O83*$B$11+O83*$B$12</f>
        <v/>
      </c>
      <c r="R83" s="39">
        <f>I83*$B$13</f>
        <v/>
      </c>
      <c r="S83" s="39">
        <f>O83*'1_Assumptions'!$E$24</f>
        <v/>
      </c>
      <c r="T83" s="39">
        <f>I83+S83-R83</f>
        <v/>
      </c>
      <c r="U83" s="39">
        <f>O83*$B$14</f>
        <v/>
      </c>
      <c r="V83" s="39">
        <f>K83-U83</f>
        <v/>
      </c>
      <c r="W83" s="39">
        <f>L83+O83*$B$16-L83/$B$18</f>
        <v/>
      </c>
      <c r="X83" s="39">
        <f>O83*'1_Assumptions'!$B$56/365+P83*'1_Assumptions'!$B$57/365+O83*'1_Assumptions'!$B$54-P83*'1_Assumptions'!$B$58/365-O83*'1_Assumptions'!$B$55</f>
        <v/>
      </c>
      <c r="Y83" s="39">
        <f>Q83*(1-$B$15)+R83+U83+IF($B$19=1,O83*'1_Assumptions'!$E$30,0)-S83-(X83-M83)</f>
        <v/>
      </c>
      <c r="Z83" s="39">
        <f>O83*(1+'1_Assumptions'!$E$13)</f>
        <v/>
      </c>
      <c r="AA83" s="39">
        <f>Z83*(1-('1_Assumptions'!$E$19+$B83))</f>
        <v/>
      </c>
      <c r="AB83" s="39">
        <f>Z83-AA83-Z83*$B$11+Z83*$B$12</f>
        <v/>
      </c>
      <c r="AC83" s="39">
        <f>T83*$B$13</f>
        <v/>
      </c>
      <c r="AD83" s="39">
        <f>Z83*'1_Assumptions'!$E$25</f>
        <v/>
      </c>
      <c r="AE83" s="39">
        <f>T83+AD83-AC83</f>
        <v/>
      </c>
      <c r="AF83" s="39">
        <f>Z83*$B$14</f>
        <v/>
      </c>
      <c r="AG83" s="39">
        <f>V83-AF83</f>
        <v/>
      </c>
      <c r="AH83" s="39">
        <f>W83+Z83*$B$16-W83/$B$18</f>
        <v/>
      </c>
      <c r="AI83" s="39">
        <f>Z83*'1_Assumptions'!$B$56/365+AA83*'1_Assumptions'!$B$57/365+Z83*'1_Assumptions'!$B$54-AA83*'1_Assumptions'!$B$58/365-Z83*'1_Assumptions'!$B$55</f>
        <v/>
      </c>
      <c r="AJ83" s="39">
        <f>AB83*(1-$B$15)+AC83+AF83+IF($B$19=1,Z83*'1_Assumptions'!$E$31,0)-AD83-(AI83-X83)</f>
        <v/>
      </c>
      <c r="AK83" s="39">
        <f>Z83*(1+'1_Assumptions'!$E$14)</f>
        <v/>
      </c>
      <c r="AL83" s="39">
        <f>AK83*(1-('1_Assumptions'!$E$20+$B83))</f>
        <v/>
      </c>
      <c r="AM83" s="39">
        <f>AK83-AL83-AK83*$B$11+AK83*$B$12</f>
        <v/>
      </c>
      <c r="AN83" s="39">
        <f>AE83*$B$13</f>
        <v/>
      </c>
      <c r="AO83" s="39">
        <f>AK83*'1_Assumptions'!$E$26</f>
        <v/>
      </c>
      <c r="AP83" s="39">
        <f>AE83+AO83-AN83</f>
        <v/>
      </c>
      <c r="AQ83" s="39">
        <f>AK83*$B$14</f>
        <v/>
      </c>
      <c r="AR83" s="39">
        <f>AG83-AQ83</f>
        <v/>
      </c>
      <c r="AS83" s="39">
        <f>AH83+AK83*$B$16-AH83/$B$18</f>
        <v/>
      </c>
      <c r="AT83" s="39">
        <f>AK83*'1_Assumptions'!$B$56/365+AL83*'1_Assumptions'!$B$57/365+AK83*'1_Assumptions'!$B$54-AL83*'1_Assumptions'!$B$58/365-AK83*'1_Assumptions'!$B$55</f>
        <v/>
      </c>
      <c r="AU83" s="39">
        <f>AM83*(1-$B$15)+AN83+AQ83+IF($B$19=1,AK83*'1_Assumptions'!$E$32,0)-AO83-(AT83-AI83)</f>
        <v/>
      </c>
      <c r="AV83" s="39">
        <f>AK83*(1+'1_Assumptions'!$E$15)</f>
        <v/>
      </c>
      <c r="AW83" s="39">
        <f>AV83*(1-('1_Assumptions'!$E$21+$B83))</f>
        <v/>
      </c>
      <c r="AX83" s="39">
        <f>AV83-AW83-AV83*$B$11+AV83*$B$12</f>
        <v/>
      </c>
      <c r="AY83" s="39">
        <f>AP83*$B$13</f>
        <v/>
      </c>
      <c r="AZ83" s="39">
        <f>AV83*'1_Assumptions'!$E$27</f>
        <v/>
      </c>
      <c r="BA83" s="39">
        <f>AP83+AZ83-AY83</f>
        <v/>
      </c>
      <c r="BB83" s="39">
        <f>AV83*$B$14</f>
        <v/>
      </c>
      <c r="BC83" s="39">
        <f>AR83-BB83</f>
        <v/>
      </c>
      <c r="BD83" s="39">
        <f>AS83+AV83*$B$16-AS83/$B$18</f>
        <v/>
      </c>
      <c r="BE83" s="39">
        <f>AV83*'1_Assumptions'!$B$56/365+AW83*'1_Assumptions'!$B$57/365+AV83*'1_Assumptions'!$B$54-AW83*'1_Assumptions'!$B$58/365-AV83*'1_Assumptions'!$B$55</f>
        <v/>
      </c>
      <c r="BF83" s="39">
        <f>AX83*(1-$B$15)+AY83+BB83+IF($B$19=1,AV83*'1_Assumptions'!$E$33,0)-AZ83-(BE83-AT83)</f>
        <v/>
      </c>
      <c r="BG83" s="39">
        <f>N83/(1+$B$21)^(1-0.5*$B$23)+Y83/(1+$B$21)^(2-0.5*$B$23)+AJ83/(1+$B$21)^(3-0.5*$B$23)+AU83/(1+$B$21)^(4-0.5*$B$23)+BF83/(1+$B$21)^(5-0.5*$B$23)</f>
        <v/>
      </c>
      <c r="BH83" s="39">
        <f>BE83+BA83+BC83+$B$9+IF($B$17=1,BD83,0)</f>
        <v/>
      </c>
      <c r="BI83" s="19">
        <f>IF($B$32=2,$B$21+$B$33,IF(BH83=0,0,BL83/BH83))</f>
        <v/>
      </c>
      <c r="BJ83" s="19">
        <f>IF(BI83=0,9,$C83/BI83)</f>
        <v/>
      </c>
      <c r="BK83" s="55">
        <f>IF(OR(BH83&lt;=0,BI83&lt;=$B$21,BJ83&gt;=1,BJ83&lt;0),1,0)</f>
        <v/>
      </c>
      <c r="BL83" s="39">
        <f>AX83*(1-$B$20)</f>
        <v/>
      </c>
      <c r="BM83" s="39">
        <f>IF(BK83=1,BL83,AX83*(1+$C83)*(1-$B$20)*(1-BJ83))</f>
        <v/>
      </c>
      <c r="BN83" s="39">
        <f>IF(BK83=1,BL83/$B$21,BM83/($B$21-$C83))</f>
        <v/>
      </c>
      <c r="BO83" s="39">
        <f>BN83/(1+$B$21)^(5-0.5*$B$23)</f>
        <v/>
      </c>
      <c r="BP83" s="39">
        <f>BG83+BO83</f>
        <v/>
      </c>
      <c r="BQ83" s="39">
        <f>BP83*(1+$B$21)^$B$24-N83*$B$24*(1+$B$21)^($B$24/2)</f>
        <v/>
      </c>
      <c r="BR83" s="39">
        <f>BQ83-$B$25+$B$26+$B$27</f>
        <v/>
      </c>
      <c r="BS83" s="39">
        <f>IF($B$28=1,$B$30,BR83*$B$29)</f>
        <v/>
      </c>
      <c r="BT83" s="39">
        <f>BR83-BS83</f>
        <v/>
      </c>
      <c r="BU83" s="58">
        <f>BT83/$B$31</f>
        <v/>
      </c>
    </row>
    <row r="84">
      <c r="A84" s="17" t="inlineStr">
        <is>
          <t>4-3</t>
        </is>
      </c>
      <c r="B84" s="26" t="n">
        <v>0.02</v>
      </c>
      <c r="C84" s="26" t="n">
        <v>0.025</v>
      </c>
      <c r="D84" s="39">
        <f>$B$5*(1+'1_Assumptions'!$E$11)</f>
        <v/>
      </c>
      <c r="E84" s="39">
        <f>D84*(1-('1_Assumptions'!$E$17+IF('1_Assumptions'!$B$39=1,0,$B84)))</f>
        <v/>
      </c>
      <c r="F84" s="39">
        <f>D84-E84-D84*$B$11+D84*$B$12</f>
        <v/>
      </c>
      <c r="G84" s="39">
        <f>$B$6*$B$13</f>
        <v/>
      </c>
      <c r="H84" s="39">
        <f>D84*'1_Assumptions'!$E$23</f>
        <v/>
      </c>
      <c r="I84" s="39">
        <f>$B$6+H84-G84</f>
        <v/>
      </c>
      <c r="J84" s="39">
        <f>D84*$B$14</f>
        <v/>
      </c>
      <c r="K84" s="39">
        <f>$B$7-J84</f>
        <v/>
      </c>
      <c r="L84" s="39">
        <f>$B$8+D84*$B$16-$B$8/$B$18</f>
        <v/>
      </c>
      <c r="M84" s="39">
        <f>D84*'1_Assumptions'!$B$56/365+E84*'1_Assumptions'!$B$57/365+D84*'1_Assumptions'!$B$54-E84*'1_Assumptions'!$B$58/365-D84*'1_Assumptions'!$B$55</f>
        <v/>
      </c>
      <c r="N84" s="39">
        <f>F84*(1-$B$15)+G84+J84+IF($B$19=1,D84*'1_Assumptions'!$E$29,0)-H84-(M84-$B$10)</f>
        <v/>
      </c>
      <c r="O84" s="39">
        <f>D84*(1+'1_Assumptions'!$E$12)</f>
        <v/>
      </c>
      <c r="P84" s="39">
        <f>O84*(1-('1_Assumptions'!$E$18+$B84))</f>
        <v/>
      </c>
      <c r="Q84" s="39">
        <f>O84-P84-O84*$B$11+O84*$B$12</f>
        <v/>
      </c>
      <c r="R84" s="39">
        <f>I84*$B$13</f>
        <v/>
      </c>
      <c r="S84" s="39">
        <f>O84*'1_Assumptions'!$E$24</f>
        <v/>
      </c>
      <c r="T84" s="39">
        <f>I84+S84-R84</f>
        <v/>
      </c>
      <c r="U84" s="39">
        <f>O84*$B$14</f>
        <v/>
      </c>
      <c r="V84" s="39">
        <f>K84-U84</f>
        <v/>
      </c>
      <c r="W84" s="39">
        <f>L84+O84*$B$16-L84/$B$18</f>
        <v/>
      </c>
      <c r="X84" s="39">
        <f>O84*'1_Assumptions'!$B$56/365+P84*'1_Assumptions'!$B$57/365+O84*'1_Assumptions'!$B$54-P84*'1_Assumptions'!$B$58/365-O84*'1_Assumptions'!$B$55</f>
        <v/>
      </c>
      <c r="Y84" s="39">
        <f>Q84*(1-$B$15)+R84+U84+IF($B$19=1,O84*'1_Assumptions'!$E$30,0)-S84-(X84-M84)</f>
        <v/>
      </c>
      <c r="Z84" s="39">
        <f>O84*(1+'1_Assumptions'!$E$13)</f>
        <v/>
      </c>
      <c r="AA84" s="39">
        <f>Z84*(1-('1_Assumptions'!$E$19+$B84))</f>
        <v/>
      </c>
      <c r="AB84" s="39">
        <f>Z84-AA84-Z84*$B$11+Z84*$B$12</f>
        <v/>
      </c>
      <c r="AC84" s="39">
        <f>T84*$B$13</f>
        <v/>
      </c>
      <c r="AD84" s="39">
        <f>Z84*'1_Assumptions'!$E$25</f>
        <v/>
      </c>
      <c r="AE84" s="39">
        <f>T84+AD84-AC84</f>
        <v/>
      </c>
      <c r="AF84" s="39">
        <f>Z84*$B$14</f>
        <v/>
      </c>
      <c r="AG84" s="39">
        <f>V84-AF84</f>
        <v/>
      </c>
      <c r="AH84" s="39">
        <f>W84+Z84*$B$16-W84/$B$18</f>
        <v/>
      </c>
      <c r="AI84" s="39">
        <f>Z84*'1_Assumptions'!$B$56/365+AA84*'1_Assumptions'!$B$57/365+Z84*'1_Assumptions'!$B$54-AA84*'1_Assumptions'!$B$58/365-Z84*'1_Assumptions'!$B$55</f>
        <v/>
      </c>
      <c r="AJ84" s="39">
        <f>AB84*(1-$B$15)+AC84+AF84+IF($B$19=1,Z84*'1_Assumptions'!$E$31,0)-AD84-(AI84-X84)</f>
        <v/>
      </c>
      <c r="AK84" s="39">
        <f>Z84*(1+'1_Assumptions'!$E$14)</f>
        <v/>
      </c>
      <c r="AL84" s="39">
        <f>AK84*(1-('1_Assumptions'!$E$20+$B84))</f>
        <v/>
      </c>
      <c r="AM84" s="39">
        <f>AK84-AL84-AK84*$B$11+AK84*$B$12</f>
        <v/>
      </c>
      <c r="AN84" s="39">
        <f>AE84*$B$13</f>
        <v/>
      </c>
      <c r="AO84" s="39">
        <f>AK84*'1_Assumptions'!$E$26</f>
        <v/>
      </c>
      <c r="AP84" s="39">
        <f>AE84+AO84-AN84</f>
        <v/>
      </c>
      <c r="AQ84" s="39">
        <f>AK84*$B$14</f>
        <v/>
      </c>
      <c r="AR84" s="39">
        <f>AG84-AQ84</f>
        <v/>
      </c>
      <c r="AS84" s="39">
        <f>AH84+AK84*$B$16-AH84/$B$18</f>
        <v/>
      </c>
      <c r="AT84" s="39">
        <f>AK84*'1_Assumptions'!$B$56/365+AL84*'1_Assumptions'!$B$57/365+AK84*'1_Assumptions'!$B$54-AL84*'1_Assumptions'!$B$58/365-AK84*'1_Assumptions'!$B$55</f>
        <v/>
      </c>
      <c r="AU84" s="39">
        <f>AM84*(1-$B$15)+AN84+AQ84+IF($B$19=1,AK84*'1_Assumptions'!$E$32,0)-AO84-(AT84-AI84)</f>
        <v/>
      </c>
      <c r="AV84" s="39">
        <f>AK84*(1+'1_Assumptions'!$E$15)</f>
        <v/>
      </c>
      <c r="AW84" s="39">
        <f>AV84*(1-('1_Assumptions'!$E$21+$B84))</f>
        <v/>
      </c>
      <c r="AX84" s="39">
        <f>AV84-AW84-AV84*$B$11+AV84*$B$12</f>
        <v/>
      </c>
      <c r="AY84" s="39">
        <f>AP84*$B$13</f>
        <v/>
      </c>
      <c r="AZ84" s="39">
        <f>AV84*'1_Assumptions'!$E$27</f>
        <v/>
      </c>
      <c r="BA84" s="39">
        <f>AP84+AZ84-AY84</f>
        <v/>
      </c>
      <c r="BB84" s="39">
        <f>AV84*$B$14</f>
        <v/>
      </c>
      <c r="BC84" s="39">
        <f>AR84-BB84</f>
        <v/>
      </c>
      <c r="BD84" s="39">
        <f>AS84+AV84*$B$16-AS84/$B$18</f>
        <v/>
      </c>
      <c r="BE84" s="39">
        <f>AV84*'1_Assumptions'!$B$56/365+AW84*'1_Assumptions'!$B$57/365+AV84*'1_Assumptions'!$B$54-AW84*'1_Assumptions'!$B$58/365-AV84*'1_Assumptions'!$B$55</f>
        <v/>
      </c>
      <c r="BF84" s="39">
        <f>AX84*(1-$B$15)+AY84+BB84+IF($B$19=1,AV84*'1_Assumptions'!$E$33,0)-AZ84-(BE84-AT84)</f>
        <v/>
      </c>
      <c r="BG84" s="39">
        <f>N84/(1+$B$21)^(1-0.5*$B$23)+Y84/(1+$B$21)^(2-0.5*$B$23)+AJ84/(1+$B$21)^(3-0.5*$B$23)+AU84/(1+$B$21)^(4-0.5*$B$23)+BF84/(1+$B$21)^(5-0.5*$B$23)</f>
        <v/>
      </c>
      <c r="BH84" s="39">
        <f>BE84+BA84+BC84+$B$9+IF($B$17=1,BD84,0)</f>
        <v/>
      </c>
      <c r="BI84" s="19">
        <f>IF($B$32=2,$B$21+$B$33,IF(BH84=0,0,BL84/BH84))</f>
        <v/>
      </c>
      <c r="BJ84" s="19">
        <f>IF(BI84=0,9,$C84/BI84)</f>
        <v/>
      </c>
      <c r="BK84" s="55">
        <f>IF(OR(BH84&lt;=0,BI84&lt;=$B$21,BJ84&gt;=1,BJ84&lt;0),1,0)</f>
        <v/>
      </c>
      <c r="BL84" s="39">
        <f>AX84*(1-$B$20)</f>
        <v/>
      </c>
      <c r="BM84" s="39">
        <f>IF(BK84=1,BL84,AX84*(1+$C84)*(1-$B$20)*(1-BJ84))</f>
        <v/>
      </c>
      <c r="BN84" s="39">
        <f>IF(BK84=1,BL84/$B$21,BM84/($B$21-$C84))</f>
        <v/>
      </c>
      <c r="BO84" s="39">
        <f>BN84/(1+$B$21)^(5-0.5*$B$23)</f>
        <v/>
      </c>
      <c r="BP84" s="39">
        <f>BG84+BO84</f>
        <v/>
      </c>
      <c r="BQ84" s="39">
        <f>BP84*(1+$B$21)^$B$24-N84*$B$24*(1+$B$21)^($B$24/2)</f>
        <v/>
      </c>
      <c r="BR84" s="39">
        <f>BQ84-$B$25+$B$26+$B$27</f>
        <v/>
      </c>
      <c r="BS84" s="39">
        <f>IF($B$28=1,$B$30,BR84*$B$29)</f>
        <v/>
      </c>
      <c r="BT84" s="39">
        <f>BR84-BS84</f>
        <v/>
      </c>
      <c r="BU84" s="58">
        <f>BT84/$B$31</f>
        <v/>
      </c>
    </row>
    <row r="85">
      <c r="A85" s="17" t="inlineStr">
        <is>
          <t>4-4</t>
        </is>
      </c>
      <c r="B85" s="26" t="n">
        <v>0.02</v>
      </c>
      <c r="C85" s="26" t="n">
        <v>0.0325</v>
      </c>
      <c r="D85" s="39">
        <f>$B$5*(1+'1_Assumptions'!$E$11)</f>
        <v/>
      </c>
      <c r="E85" s="39">
        <f>D85*(1-('1_Assumptions'!$E$17+IF('1_Assumptions'!$B$39=1,0,$B85)))</f>
        <v/>
      </c>
      <c r="F85" s="39">
        <f>D85-E85-D85*$B$11+D85*$B$12</f>
        <v/>
      </c>
      <c r="G85" s="39">
        <f>$B$6*$B$13</f>
        <v/>
      </c>
      <c r="H85" s="39">
        <f>D85*'1_Assumptions'!$E$23</f>
        <v/>
      </c>
      <c r="I85" s="39">
        <f>$B$6+H85-G85</f>
        <v/>
      </c>
      <c r="J85" s="39">
        <f>D85*$B$14</f>
        <v/>
      </c>
      <c r="K85" s="39">
        <f>$B$7-J85</f>
        <v/>
      </c>
      <c r="L85" s="39">
        <f>$B$8+D85*$B$16-$B$8/$B$18</f>
        <v/>
      </c>
      <c r="M85" s="39">
        <f>D85*'1_Assumptions'!$B$56/365+E85*'1_Assumptions'!$B$57/365+D85*'1_Assumptions'!$B$54-E85*'1_Assumptions'!$B$58/365-D85*'1_Assumptions'!$B$55</f>
        <v/>
      </c>
      <c r="N85" s="39">
        <f>F85*(1-$B$15)+G85+J85+IF($B$19=1,D85*'1_Assumptions'!$E$29,0)-H85-(M85-$B$10)</f>
        <v/>
      </c>
      <c r="O85" s="39">
        <f>D85*(1+'1_Assumptions'!$E$12)</f>
        <v/>
      </c>
      <c r="P85" s="39">
        <f>O85*(1-('1_Assumptions'!$E$18+$B85))</f>
        <v/>
      </c>
      <c r="Q85" s="39">
        <f>O85-P85-O85*$B$11+O85*$B$12</f>
        <v/>
      </c>
      <c r="R85" s="39">
        <f>I85*$B$13</f>
        <v/>
      </c>
      <c r="S85" s="39">
        <f>O85*'1_Assumptions'!$E$24</f>
        <v/>
      </c>
      <c r="T85" s="39">
        <f>I85+S85-R85</f>
        <v/>
      </c>
      <c r="U85" s="39">
        <f>O85*$B$14</f>
        <v/>
      </c>
      <c r="V85" s="39">
        <f>K85-U85</f>
        <v/>
      </c>
      <c r="W85" s="39">
        <f>L85+O85*$B$16-L85/$B$18</f>
        <v/>
      </c>
      <c r="X85" s="39">
        <f>O85*'1_Assumptions'!$B$56/365+P85*'1_Assumptions'!$B$57/365+O85*'1_Assumptions'!$B$54-P85*'1_Assumptions'!$B$58/365-O85*'1_Assumptions'!$B$55</f>
        <v/>
      </c>
      <c r="Y85" s="39">
        <f>Q85*(1-$B$15)+R85+U85+IF($B$19=1,O85*'1_Assumptions'!$E$30,0)-S85-(X85-M85)</f>
        <v/>
      </c>
      <c r="Z85" s="39">
        <f>O85*(1+'1_Assumptions'!$E$13)</f>
        <v/>
      </c>
      <c r="AA85" s="39">
        <f>Z85*(1-('1_Assumptions'!$E$19+$B85))</f>
        <v/>
      </c>
      <c r="AB85" s="39">
        <f>Z85-AA85-Z85*$B$11+Z85*$B$12</f>
        <v/>
      </c>
      <c r="AC85" s="39">
        <f>T85*$B$13</f>
        <v/>
      </c>
      <c r="AD85" s="39">
        <f>Z85*'1_Assumptions'!$E$25</f>
        <v/>
      </c>
      <c r="AE85" s="39">
        <f>T85+AD85-AC85</f>
        <v/>
      </c>
      <c r="AF85" s="39">
        <f>Z85*$B$14</f>
        <v/>
      </c>
      <c r="AG85" s="39">
        <f>V85-AF85</f>
        <v/>
      </c>
      <c r="AH85" s="39">
        <f>W85+Z85*$B$16-W85/$B$18</f>
        <v/>
      </c>
      <c r="AI85" s="39">
        <f>Z85*'1_Assumptions'!$B$56/365+AA85*'1_Assumptions'!$B$57/365+Z85*'1_Assumptions'!$B$54-AA85*'1_Assumptions'!$B$58/365-Z85*'1_Assumptions'!$B$55</f>
        <v/>
      </c>
      <c r="AJ85" s="39">
        <f>AB85*(1-$B$15)+AC85+AF85+IF($B$19=1,Z85*'1_Assumptions'!$E$31,0)-AD85-(AI85-X85)</f>
        <v/>
      </c>
      <c r="AK85" s="39">
        <f>Z85*(1+'1_Assumptions'!$E$14)</f>
        <v/>
      </c>
      <c r="AL85" s="39">
        <f>AK85*(1-('1_Assumptions'!$E$20+$B85))</f>
        <v/>
      </c>
      <c r="AM85" s="39">
        <f>AK85-AL85-AK85*$B$11+AK85*$B$12</f>
        <v/>
      </c>
      <c r="AN85" s="39">
        <f>AE85*$B$13</f>
        <v/>
      </c>
      <c r="AO85" s="39">
        <f>AK85*'1_Assumptions'!$E$26</f>
        <v/>
      </c>
      <c r="AP85" s="39">
        <f>AE85+AO85-AN85</f>
        <v/>
      </c>
      <c r="AQ85" s="39">
        <f>AK85*$B$14</f>
        <v/>
      </c>
      <c r="AR85" s="39">
        <f>AG85-AQ85</f>
        <v/>
      </c>
      <c r="AS85" s="39">
        <f>AH85+AK85*$B$16-AH85/$B$18</f>
        <v/>
      </c>
      <c r="AT85" s="39">
        <f>AK85*'1_Assumptions'!$B$56/365+AL85*'1_Assumptions'!$B$57/365+AK85*'1_Assumptions'!$B$54-AL85*'1_Assumptions'!$B$58/365-AK85*'1_Assumptions'!$B$55</f>
        <v/>
      </c>
      <c r="AU85" s="39">
        <f>AM85*(1-$B$15)+AN85+AQ85+IF($B$19=1,AK85*'1_Assumptions'!$E$32,0)-AO85-(AT85-AI85)</f>
        <v/>
      </c>
      <c r="AV85" s="39">
        <f>AK85*(1+'1_Assumptions'!$E$15)</f>
        <v/>
      </c>
      <c r="AW85" s="39">
        <f>AV85*(1-('1_Assumptions'!$E$21+$B85))</f>
        <v/>
      </c>
      <c r="AX85" s="39">
        <f>AV85-AW85-AV85*$B$11+AV85*$B$12</f>
        <v/>
      </c>
      <c r="AY85" s="39">
        <f>AP85*$B$13</f>
        <v/>
      </c>
      <c r="AZ85" s="39">
        <f>AV85*'1_Assumptions'!$E$27</f>
        <v/>
      </c>
      <c r="BA85" s="39">
        <f>AP85+AZ85-AY85</f>
        <v/>
      </c>
      <c r="BB85" s="39">
        <f>AV85*$B$14</f>
        <v/>
      </c>
      <c r="BC85" s="39">
        <f>AR85-BB85</f>
        <v/>
      </c>
      <c r="BD85" s="39">
        <f>AS85+AV85*$B$16-AS85/$B$18</f>
        <v/>
      </c>
      <c r="BE85" s="39">
        <f>AV85*'1_Assumptions'!$B$56/365+AW85*'1_Assumptions'!$B$57/365+AV85*'1_Assumptions'!$B$54-AW85*'1_Assumptions'!$B$58/365-AV85*'1_Assumptions'!$B$55</f>
        <v/>
      </c>
      <c r="BF85" s="39">
        <f>AX85*(1-$B$15)+AY85+BB85+IF($B$19=1,AV85*'1_Assumptions'!$E$33,0)-AZ85-(BE85-AT85)</f>
        <v/>
      </c>
      <c r="BG85" s="39">
        <f>N85/(1+$B$21)^(1-0.5*$B$23)+Y85/(1+$B$21)^(2-0.5*$B$23)+AJ85/(1+$B$21)^(3-0.5*$B$23)+AU85/(1+$B$21)^(4-0.5*$B$23)+BF85/(1+$B$21)^(5-0.5*$B$23)</f>
        <v/>
      </c>
      <c r="BH85" s="39">
        <f>BE85+BA85+BC85+$B$9+IF($B$17=1,BD85,0)</f>
        <v/>
      </c>
      <c r="BI85" s="19">
        <f>IF($B$32=2,$B$21+$B$33,IF(BH85=0,0,BL85/BH85))</f>
        <v/>
      </c>
      <c r="BJ85" s="19">
        <f>IF(BI85=0,9,$C85/BI85)</f>
        <v/>
      </c>
      <c r="BK85" s="55">
        <f>IF(OR(BH85&lt;=0,BI85&lt;=$B$21,BJ85&gt;=1,BJ85&lt;0),1,0)</f>
        <v/>
      </c>
      <c r="BL85" s="39">
        <f>AX85*(1-$B$20)</f>
        <v/>
      </c>
      <c r="BM85" s="39">
        <f>IF(BK85=1,BL85,AX85*(1+$C85)*(1-$B$20)*(1-BJ85))</f>
        <v/>
      </c>
      <c r="BN85" s="39">
        <f>IF(BK85=1,BL85/$B$21,BM85/($B$21-$C85))</f>
        <v/>
      </c>
      <c r="BO85" s="39">
        <f>BN85/(1+$B$21)^(5-0.5*$B$23)</f>
        <v/>
      </c>
      <c r="BP85" s="39">
        <f>BG85+BO85</f>
        <v/>
      </c>
      <c r="BQ85" s="39">
        <f>BP85*(1+$B$21)^$B$24-N85*$B$24*(1+$B$21)^($B$24/2)</f>
        <v/>
      </c>
      <c r="BR85" s="39">
        <f>BQ85-$B$25+$B$26+$B$27</f>
        <v/>
      </c>
      <c r="BS85" s="39">
        <f>IF($B$28=1,$B$30,BR85*$B$29)</f>
        <v/>
      </c>
      <c r="BT85" s="39">
        <f>BR85-BS85</f>
        <v/>
      </c>
      <c r="BU85" s="58">
        <f>BT85/$B$31</f>
        <v/>
      </c>
    </row>
    <row r="86">
      <c r="A86" s="17" t="inlineStr">
        <is>
          <t>4-5</t>
        </is>
      </c>
      <c r="B86" s="26" t="n">
        <v>0.02</v>
      </c>
      <c r="C86" s="26" t="n">
        <v>0.04</v>
      </c>
      <c r="D86" s="39">
        <f>$B$5*(1+'1_Assumptions'!$E$11)</f>
        <v/>
      </c>
      <c r="E86" s="39">
        <f>D86*(1-('1_Assumptions'!$E$17+IF('1_Assumptions'!$B$39=1,0,$B86)))</f>
        <v/>
      </c>
      <c r="F86" s="39">
        <f>D86-E86-D86*$B$11+D86*$B$12</f>
        <v/>
      </c>
      <c r="G86" s="39">
        <f>$B$6*$B$13</f>
        <v/>
      </c>
      <c r="H86" s="39">
        <f>D86*'1_Assumptions'!$E$23</f>
        <v/>
      </c>
      <c r="I86" s="39">
        <f>$B$6+H86-G86</f>
        <v/>
      </c>
      <c r="J86" s="39">
        <f>D86*$B$14</f>
        <v/>
      </c>
      <c r="K86" s="39">
        <f>$B$7-J86</f>
        <v/>
      </c>
      <c r="L86" s="39">
        <f>$B$8+D86*$B$16-$B$8/$B$18</f>
        <v/>
      </c>
      <c r="M86" s="39">
        <f>D86*'1_Assumptions'!$B$56/365+E86*'1_Assumptions'!$B$57/365+D86*'1_Assumptions'!$B$54-E86*'1_Assumptions'!$B$58/365-D86*'1_Assumptions'!$B$55</f>
        <v/>
      </c>
      <c r="N86" s="39">
        <f>F86*(1-$B$15)+G86+J86+IF($B$19=1,D86*'1_Assumptions'!$E$29,0)-H86-(M86-$B$10)</f>
        <v/>
      </c>
      <c r="O86" s="39">
        <f>D86*(1+'1_Assumptions'!$E$12)</f>
        <v/>
      </c>
      <c r="P86" s="39">
        <f>O86*(1-('1_Assumptions'!$E$18+$B86))</f>
        <v/>
      </c>
      <c r="Q86" s="39">
        <f>O86-P86-O86*$B$11+O86*$B$12</f>
        <v/>
      </c>
      <c r="R86" s="39">
        <f>I86*$B$13</f>
        <v/>
      </c>
      <c r="S86" s="39">
        <f>O86*'1_Assumptions'!$E$24</f>
        <v/>
      </c>
      <c r="T86" s="39">
        <f>I86+S86-R86</f>
        <v/>
      </c>
      <c r="U86" s="39">
        <f>O86*$B$14</f>
        <v/>
      </c>
      <c r="V86" s="39">
        <f>K86-U86</f>
        <v/>
      </c>
      <c r="W86" s="39">
        <f>L86+O86*$B$16-L86/$B$18</f>
        <v/>
      </c>
      <c r="X86" s="39">
        <f>O86*'1_Assumptions'!$B$56/365+P86*'1_Assumptions'!$B$57/365+O86*'1_Assumptions'!$B$54-P86*'1_Assumptions'!$B$58/365-O86*'1_Assumptions'!$B$55</f>
        <v/>
      </c>
      <c r="Y86" s="39">
        <f>Q86*(1-$B$15)+R86+U86+IF($B$19=1,O86*'1_Assumptions'!$E$30,0)-S86-(X86-M86)</f>
        <v/>
      </c>
      <c r="Z86" s="39">
        <f>O86*(1+'1_Assumptions'!$E$13)</f>
        <v/>
      </c>
      <c r="AA86" s="39">
        <f>Z86*(1-('1_Assumptions'!$E$19+$B86))</f>
        <v/>
      </c>
      <c r="AB86" s="39">
        <f>Z86-AA86-Z86*$B$11+Z86*$B$12</f>
        <v/>
      </c>
      <c r="AC86" s="39">
        <f>T86*$B$13</f>
        <v/>
      </c>
      <c r="AD86" s="39">
        <f>Z86*'1_Assumptions'!$E$25</f>
        <v/>
      </c>
      <c r="AE86" s="39">
        <f>T86+AD86-AC86</f>
        <v/>
      </c>
      <c r="AF86" s="39">
        <f>Z86*$B$14</f>
        <v/>
      </c>
      <c r="AG86" s="39">
        <f>V86-AF86</f>
        <v/>
      </c>
      <c r="AH86" s="39">
        <f>W86+Z86*$B$16-W86/$B$18</f>
        <v/>
      </c>
      <c r="AI86" s="39">
        <f>Z86*'1_Assumptions'!$B$56/365+AA86*'1_Assumptions'!$B$57/365+Z86*'1_Assumptions'!$B$54-AA86*'1_Assumptions'!$B$58/365-Z86*'1_Assumptions'!$B$55</f>
        <v/>
      </c>
      <c r="AJ86" s="39">
        <f>AB86*(1-$B$15)+AC86+AF86+IF($B$19=1,Z86*'1_Assumptions'!$E$31,0)-AD86-(AI86-X86)</f>
        <v/>
      </c>
      <c r="AK86" s="39">
        <f>Z86*(1+'1_Assumptions'!$E$14)</f>
        <v/>
      </c>
      <c r="AL86" s="39">
        <f>AK86*(1-('1_Assumptions'!$E$20+$B86))</f>
        <v/>
      </c>
      <c r="AM86" s="39">
        <f>AK86-AL86-AK86*$B$11+AK86*$B$12</f>
        <v/>
      </c>
      <c r="AN86" s="39">
        <f>AE86*$B$13</f>
        <v/>
      </c>
      <c r="AO86" s="39">
        <f>AK86*'1_Assumptions'!$E$26</f>
        <v/>
      </c>
      <c r="AP86" s="39">
        <f>AE86+AO86-AN86</f>
        <v/>
      </c>
      <c r="AQ86" s="39">
        <f>AK86*$B$14</f>
        <v/>
      </c>
      <c r="AR86" s="39">
        <f>AG86-AQ86</f>
        <v/>
      </c>
      <c r="AS86" s="39">
        <f>AH86+AK86*$B$16-AH86/$B$18</f>
        <v/>
      </c>
      <c r="AT86" s="39">
        <f>AK86*'1_Assumptions'!$B$56/365+AL86*'1_Assumptions'!$B$57/365+AK86*'1_Assumptions'!$B$54-AL86*'1_Assumptions'!$B$58/365-AK86*'1_Assumptions'!$B$55</f>
        <v/>
      </c>
      <c r="AU86" s="39">
        <f>AM86*(1-$B$15)+AN86+AQ86+IF($B$19=1,AK86*'1_Assumptions'!$E$32,0)-AO86-(AT86-AI86)</f>
        <v/>
      </c>
      <c r="AV86" s="39">
        <f>AK86*(1+'1_Assumptions'!$E$15)</f>
        <v/>
      </c>
      <c r="AW86" s="39">
        <f>AV86*(1-('1_Assumptions'!$E$21+$B86))</f>
        <v/>
      </c>
      <c r="AX86" s="39">
        <f>AV86-AW86-AV86*$B$11+AV86*$B$12</f>
        <v/>
      </c>
      <c r="AY86" s="39">
        <f>AP86*$B$13</f>
        <v/>
      </c>
      <c r="AZ86" s="39">
        <f>AV86*'1_Assumptions'!$E$27</f>
        <v/>
      </c>
      <c r="BA86" s="39">
        <f>AP86+AZ86-AY86</f>
        <v/>
      </c>
      <c r="BB86" s="39">
        <f>AV86*$B$14</f>
        <v/>
      </c>
      <c r="BC86" s="39">
        <f>AR86-BB86</f>
        <v/>
      </c>
      <c r="BD86" s="39">
        <f>AS86+AV86*$B$16-AS86/$B$18</f>
        <v/>
      </c>
      <c r="BE86" s="39">
        <f>AV86*'1_Assumptions'!$B$56/365+AW86*'1_Assumptions'!$B$57/365+AV86*'1_Assumptions'!$B$54-AW86*'1_Assumptions'!$B$58/365-AV86*'1_Assumptions'!$B$55</f>
        <v/>
      </c>
      <c r="BF86" s="39">
        <f>AX86*(1-$B$15)+AY86+BB86+IF($B$19=1,AV86*'1_Assumptions'!$E$33,0)-AZ86-(BE86-AT86)</f>
        <v/>
      </c>
      <c r="BG86" s="39">
        <f>N86/(1+$B$21)^(1-0.5*$B$23)+Y86/(1+$B$21)^(2-0.5*$B$23)+AJ86/(1+$B$21)^(3-0.5*$B$23)+AU86/(1+$B$21)^(4-0.5*$B$23)+BF86/(1+$B$21)^(5-0.5*$B$23)</f>
        <v/>
      </c>
      <c r="BH86" s="39">
        <f>BE86+BA86+BC86+$B$9+IF($B$17=1,BD86,0)</f>
        <v/>
      </c>
      <c r="BI86" s="19">
        <f>IF($B$32=2,$B$21+$B$33,IF(BH86=0,0,BL86/BH86))</f>
        <v/>
      </c>
      <c r="BJ86" s="19">
        <f>IF(BI86=0,9,$C86/BI86)</f>
        <v/>
      </c>
      <c r="BK86" s="55">
        <f>IF(OR(BH86&lt;=0,BI86&lt;=$B$21,BJ86&gt;=1,BJ86&lt;0),1,0)</f>
        <v/>
      </c>
      <c r="BL86" s="39">
        <f>AX86*(1-$B$20)</f>
        <v/>
      </c>
      <c r="BM86" s="39">
        <f>IF(BK86=1,BL86,AX86*(1+$C86)*(1-$B$20)*(1-BJ86))</f>
        <v/>
      </c>
      <c r="BN86" s="39">
        <f>IF(BK86=1,BL86/$B$21,BM86/($B$21-$C86))</f>
        <v/>
      </c>
      <c r="BO86" s="39">
        <f>BN86/(1+$B$21)^(5-0.5*$B$23)</f>
        <v/>
      </c>
      <c r="BP86" s="39">
        <f>BG86+BO86</f>
        <v/>
      </c>
      <c r="BQ86" s="39">
        <f>BP86*(1+$B$21)^$B$24-N86*$B$24*(1+$B$21)^($B$24/2)</f>
        <v/>
      </c>
      <c r="BR86" s="39">
        <f>BQ86-$B$25+$B$26+$B$27</f>
        <v/>
      </c>
      <c r="BS86" s="39">
        <f>IF($B$28=1,$B$30,BR86*$B$29)</f>
        <v/>
      </c>
      <c r="BT86" s="39">
        <f>BR86-BS86</f>
        <v/>
      </c>
      <c r="BU86" s="58">
        <f>BT86/$B$31</f>
        <v/>
      </c>
    </row>
    <row r="87">
      <c r="A87" s="17" t="inlineStr">
        <is>
          <t>5-1</t>
        </is>
      </c>
      <c r="B87" s="26" t="n">
        <v>0.04</v>
      </c>
      <c r="C87" s="26" t="n">
        <v>0.01</v>
      </c>
      <c r="D87" s="39">
        <f>$B$5*(1+'1_Assumptions'!$E$11)</f>
        <v/>
      </c>
      <c r="E87" s="39">
        <f>D87*(1-('1_Assumptions'!$E$17+IF('1_Assumptions'!$B$39=1,0,$B87)))</f>
        <v/>
      </c>
      <c r="F87" s="39">
        <f>D87-E87-D87*$B$11+D87*$B$12</f>
        <v/>
      </c>
      <c r="G87" s="39">
        <f>$B$6*$B$13</f>
        <v/>
      </c>
      <c r="H87" s="39">
        <f>D87*'1_Assumptions'!$E$23</f>
        <v/>
      </c>
      <c r="I87" s="39">
        <f>$B$6+H87-G87</f>
        <v/>
      </c>
      <c r="J87" s="39">
        <f>D87*$B$14</f>
        <v/>
      </c>
      <c r="K87" s="39">
        <f>$B$7-J87</f>
        <v/>
      </c>
      <c r="L87" s="39">
        <f>$B$8+D87*$B$16-$B$8/$B$18</f>
        <v/>
      </c>
      <c r="M87" s="39">
        <f>D87*'1_Assumptions'!$B$56/365+E87*'1_Assumptions'!$B$57/365+D87*'1_Assumptions'!$B$54-E87*'1_Assumptions'!$B$58/365-D87*'1_Assumptions'!$B$55</f>
        <v/>
      </c>
      <c r="N87" s="39">
        <f>F87*(1-$B$15)+G87+J87+IF($B$19=1,D87*'1_Assumptions'!$E$29,0)-H87-(M87-$B$10)</f>
        <v/>
      </c>
      <c r="O87" s="39">
        <f>D87*(1+'1_Assumptions'!$E$12)</f>
        <v/>
      </c>
      <c r="P87" s="39">
        <f>O87*(1-('1_Assumptions'!$E$18+$B87))</f>
        <v/>
      </c>
      <c r="Q87" s="39">
        <f>O87-P87-O87*$B$11+O87*$B$12</f>
        <v/>
      </c>
      <c r="R87" s="39">
        <f>I87*$B$13</f>
        <v/>
      </c>
      <c r="S87" s="39">
        <f>O87*'1_Assumptions'!$E$24</f>
        <v/>
      </c>
      <c r="T87" s="39">
        <f>I87+S87-R87</f>
        <v/>
      </c>
      <c r="U87" s="39">
        <f>O87*$B$14</f>
        <v/>
      </c>
      <c r="V87" s="39">
        <f>K87-U87</f>
        <v/>
      </c>
      <c r="W87" s="39">
        <f>L87+O87*$B$16-L87/$B$18</f>
        <v/>
      </c>
      <c r="X87" s="39">
        <f>O87*'1_Assumptions'!$B$56/365+P87*'1_Assumptions'!$B$57/365+O87*'1_Assumptions'!$B$54-P87*'1_Assumptions'!$B$58/365-O87*'1_Assumptions'!$B$55</f>
        <v/>
      </c>
      <c r="Y87" s="39">
        <f>Q87*(1-$B$15)+R87+U87+IF($B$19=1,O87*'1_Assumptions'!$E$30,0)-S87-(X87-M87)</f>
        <v/>
      </c>
      <c r="Z87" s="39">
        <f>O87*(1+'1_Assumptions'!$E$13)</f>
        <v/>
      </c>
      <c r="AA87" s="39">
        <f>Z87*(1-('1_Assumptions'!$E$19+$B87))</f>
        <v/>
      </c>
      <c r="AB87" s="39">
        <f>Z87-AA87-Z87*$B$11+Z87*$B$12</f>
        <v/>
      </c>
      <c r="AC87" s="39">
        <f>T87*$B$13</f>
        <v/>
      </c>
      <c r="AD87" s="39">
        <f>Z87*'1_Assumptions'!$E$25</f>
        <v/>
      </c>
      <c r="AE87" s="39">
        <f>T87+AD87-AC87</f>
        <v/>
      </c>
      <c r="AF87" s="39">
        <f>Z87*$B$14</f>
        <v/>
      </c>
      <c r="AG87" s="39">
        <f>V87-AF87</f>
        <v/>
      </c>
      <c r="AH87" s="39">
        <f>W87+Z87*$B$16-W87/$B$18</f>
        <v/>
      </c>
      <c r="AI87" s="39">
        <f>Z87*'1_Assumptions'!$B$56/365+AA87*'1_Assumptions'!$B$57/365+Z87*'1_Assumptions'!$B$54-AA87*'1_Assumptions'!$B$58/365-Z87*'1_Assumptions'!$B$55</f>
        <v/>
      </c>
      <c r="AJ87" s="39">
        <f>AB87*(1-$B$15)+AC87+AF87+IF($B$19=1,Z87*'1_Assumptions'!$E$31,0)-AD87-(AI87-X87)</f>
        <v/>
      </c>
      <c r="AK87" s="39">
        <f>Z87*(1+'1_Assumptions'!$E$14)</f>
        <v/>
      </c>
      <c r="AL87" s="39">
        <f>AK87*(1-('1_Assumptions'!$E$20+$B87))</f>
        <v/>
      </c>
      <c r="AM87" s="39">
        <f>AK87-AL87-AK87*$B$11+AK87*$B$12</f>
        <v/>
      </c>
      <c r="AN87" s="39">
        <f>AE87*$B$13</f>
        <v/>
      </c>
      <c r="AO87" s="39">
        <f>AK87*'1_Assumptions'!$E$26</f>
        <v/>
      </c>
      <c r="AP87" s="39">
        <f>AE87+AO87-AN87</f>
        <v/>
      </c>
      <c r="AQ87" s="39">
        <f>AK87*$B$14</f>
        <v/>
      </c>
      <c r="AR87" s="39">
        <f>AG87-AQ87</f>
        <v/>
      </c>
      <c r="AS87" s="39">
        <f>AH87+AK87*$B$16-AH87/$B$18</f>
        <v/>
      </c>
      <c r="AT87" s="39">
        <f>AK87*'1_Assumptions'!$B$56/365+AL87*'1_Assumptions'!$B$57/365+AK87*'1_Assumptions'!$B$54-AL87*'1_Assumptions'!$B$58/365-AK87*'1_Assumptions'!$B$55</f>
        <v/>
      </c>
      <c r="AU87" s="39">
        <f>AM87*(1-$B$15)+AN87+AQ87+IF($B$19=1,AK87*'1_Assumptions'!$E$32,0)-AO87-(AT87-AI87)</f>
        <v/>
      </c>
      <c r="AV87" s="39">
        <f>AK87*(1+'1_Assumptions'!$E$15)</f>
        <v/>
      </c>
      <c r="AW87" s="39">
        <f>AV87*(1-('1_Assumptions'!$E$21+$B87))</f>
        <v/>
      </c>
      <c r="AX87" s="39">
        <f>AV87-AW87-AV87*$B$11+AV87*$B$12</f>
        <v/>
      </c>
      <c r="AY87" s="39">
        <f>AP87*$B$13</f>
        <v/>
      </c>
      <c r="AZ87" s="39">
        <f>AV87*'1_Assumptions'!$E$27</f>
        <v/>
      </c>
      <c r="BA87" s="39">
        <f>AP87+AZ87-AY87</f>
        <v/>
      </c>
      <c r="BB87" s="39">
        <f>AV87*$B$14</f>
        <v/>
      </c>
      <c r="BC87" s="39">
        <f>AR87-BB87</f>
        <v/>
      </c>
      <c r="BD87" s="39">
        <f>AS87+AV87*$B$16-AS87/$B$18</f>
        <v/>
      </c>
      <c r="BE87" s="39">
        <f>AV87*'1_Assumptions'!$B$56/365+AW87*'1_Assumptions'!$B$57/365+AV87*'1_Assumptions'!$B$54-AW87*'1_Assumptions'!$B$58/365-AV87*'1_Assumptions'!$B$55</f>
        <v/>
      </c>
      <c r="BF87" s="39">
        <f>AX87*(1-$B$15)+AY87+BB87+IF($B$19=1,AV87*'1_Assumptions'!$E$33,0)-AZ87-(BE87-AT87)</f>
        <v/>
      </c>
      <c r="BG87" s="39">
        <f>N87/(1+$B$21)^(1-0.5*$B$23)+Y87/(1+$B$21)^(2-0.5*$B$23)+AJ87/(1+$B$21)^(3-0.5*$B$23)+AU87/(1+$B$21)^(4-0.5*$B$23)+BF87/(1+$B$21)^(5-0.5*$B$23)</f>
        <v/>
      </c>
      <c r="BH87" s="39">
        <f>BE87+BA87+BC87+$B$9+IF($B$17=1,BD87,0)</f>
        <v/>
      </c>
      <c r="BI87" s="19">
        <f>IF($B$32=2,$B$21+$B$33,IF(BH87=0,0,BL87/BH87))</f>
        <v/>
      </c>
      <c r="BJ87" s="19">
        <f>IF(BI87=0,9,$C87/BI87)</f>
        <v/>
      </c>
      <c r="BK87" s="55">
        <f>IF(OR(BH87&lt;=0,BI87&lt;=$B$21,BJ87&gt;=1,BJ87&lt;0),1,0)</f>
        <v/>
      </c>
      <c r="BL87" s="39">
        <f>AX87*(1-$B$20)</f>
        <v/>
      </c>
      <c r="BM87" s="39">
        <f>IF(BK87=1,BL87,AX87*(1+$C87)*(1-$B$20)*(1-BJ87))</f>
        <v/>
      </c>
      <c r="BN87" s="39">
        <f>IF(BK87=1,BL87/$B$21,BM87/($B$21-$C87))</f>
        <v/>
      </c>
      <c r="BO87" s="39">
        <f>BN87/(1+$B$21)^(5-0.5*$B$23)</f>
        <v/>
      </c>
      <c r="BP87" s="39">
        <f>BG87+BO87</f>
        <v/>
      </c>
      <c r="BQ87" s="39">
        <f>BP87*(1+$B$21)^$B$24-N87*$B$24*(1+$B$21)^($B$24/2)</f>
        <v/>
      </c>
      <c r="BR87" s="39">
        <f>BQ87-$B$25+$B$26+$B$27</f>
        <v/>
      </c>
      <c r="BS87" s="39">
        <f>IF($B$28=1,$B$30,BR87*$B$29)</f>
        <v/>
      </c>
      <c r="BT87" s="39">
        <f>BR87-BS87</f>
        <v/>
      </c>
      <c r="BU87" s="58">
        <f>BT87/$B$31</f>
        <v/>
      </c>
    </row>
    <row r="88">
      <c r="A88" s="17" t="inlineStr">
        <is>
          <t>5-2</t>
        </is>
      </c>
      <c r="B88" s="26" t="n">
        <v>0.04</v>
      </c>
      <c r="C88" s="26" t="n">
        <v>0.0175</v>
      </c>
      <c r="D88" s="39">
        <f>$B$5*(1+'1_Assumptions'!$E$11)</f>
        <v/>
      </c>
      <c r="E88" s="39">
        <f>D88*(1-('1_Assumptions'!$E$17+IF('1_Assumptions'!$B$39=1,0,$B88)))</f>
        <v/>
      </c>
      <c r="F88" s="39">
        <f>D88-E88-D88*$B$11+D88*$B$12</f>
        <v/>
      </c>
      <c r="G88" s="39">
        <f>$B$6*$B$13</f>
        <v/>
      </c>
      <c r="H88" s="39">
        <f>D88*'1_Assumptions'!$E$23</f>
        <v/>
      </c>
      <c r="I88" s="39">
        <f>$B$6+H88-G88</f>
        <v/>
      </c>
      <c r="J88" s="39">
        <f>D88*$B$14</f>
        <v/>
      </c>
      <c r="K88" s="39">
        <f>$B$7-J88</f>
        <v/>
      </c>
      <c r="L88" s="39">
        <f>$B$8+D88*$B$16-$B$8/$B$18</f>
        <v/>
      </c>
      <c r="M88" s="39">
        <f>D88*'1_Assumptions'!$B$56/365+E88*'1_Assumptions'!$B$57/365+D88*'1_Assumptions'!$B$54-E88*'1_Assumptions'!$B$58/365-D88*'1_Assumptions'!$B$55</f>
        <v/>
      </c>
      <c r="N88" s="39">
        <f>F88*(1-$B$15)+G88+J88+IF($B$19=1,D88*'1_Assumptions'!$E$29,0)-H88-(M88-$B$10)</f>
        <v/>
      </c>
      <c r="O88" s="39">
        <f>D88*(1+'1_Assumptions'!$E$12)</f>
        <v/>
      </c>
      <c r="P88" s="39">
        <f>O88*(1-('1_Assumptions'!$E$18+$B88))</f>
        <v/>
      </c>
      <c r="Q88" s="39">
        <f>O88-P88-O88*$B$11+O88*$B$12</f>
        <v/>
      </c>
      <c r="R88" s="39">
        <f>I88*$B$13</f>
        <v/>
      </c>
      <c r="S88" s="39">
        <f>O88*'1_Assumptions'!$E$24</f>
        <v/>
      </c>
      <c r="T88" s="39">
        <f>I88+S88-R88</f>
        <v/>
      </c>
      <c r="U88" s="39">
        <f>O88*$B$14</f>
        <v/>
      </c>
      <c r="V88" s="39">
        <f>K88-U88</f>
        <v/>
      </c>
      <c r="W88" s="39">
        <f>L88+O88*$B$16-L88/$B$18</f>
        <v/>
      </c>
      <c r="X88" s="39">
        <f>O88*'1_Assumptions'!$B$56/365+P88*'1_Assumptions'!$B$57/365+O88*'1_Assumptions'!$B$54-P88*'1_Assumptions'!$B$58/365-O88*'1_Assumptions'!$B$55</f>
        <v/>
      </c>
      <c r="Y88" s="39">
        <f>Q88*(1-$B$15)+R88+U88+IF($B$19=1,O88*'1_Assumptions'!$E$30,0)-S88-(X88-M88)</f>
        <v/>
      </c>
      <c r="Z88" s="39">
        <f>O88*(1+'1_Assumptions'!$E$13)</f>
        <v/>
      </c>
      <c r="AA88" s="39">
        <f>Z88*(1-('1_Assumptions'!$E$19+$B88))</f>
        <v/>
      </c>
      <c r="AB88" s="39">
        <f>Z88-AA88-Z88*$B$11+Z88*$B$12</f>
        <v/>
      </c>
      <c r="AC88" s="39">
        <f>T88*$B$13</f>
        <v/>
      </c>
      <c r="AD88" s="39">
        <f>Z88*'1_Assumptions'!$E$25</f>
        <v/>
      </c>
      <c r="AE88" s="39">
        <f>T88+AD88-AC88</f>
        <v/>
      </c>
      <c r="AF88" s="39">
        <f>Z88*$B$14</f>
        <v/>
      </c>
      <c r="AG88" s="39">
        <f>V88-AF88</f>
        <v/>
      </c>
      <c r="AH88" s="39">
        <f>W88+Z88*$B$16-W88/$B$18</f>
        <v/>
      </c>
      <c r="AI88" s="39">
        <f>Z88*'1_Assumptions'!$B$56/365+AA88*'1_Assumptions'!$B$57/365+Z88*'1_Assumptions'!$B$54-AA88*'1_Assumptions'!$B$58/365-Z88*'1_Assumptions'!$B$55</f>
        <v/>
      </c>
      <c r="AJ88" s="39">
        <f>AB88*(1-$B$15)+AC88+AF88+IF($B$19=1,Z88*'1_Assumptions'!$E$31,0)-AD88-(AI88-X88)</f>
        <v/>
      </c>
      <c r="AK88" s="39">
        <f>Z88*(1+'1_Assumptions'!$E$14)</f>
        <v/>
      </c>
      <c r="AL88" s="39">
        <f>AK88*(1-('1_Assumptions'!$E$20+$B88))</f>
        <v/>
      </c>
      <c r="AM88" s="39">
        <f>AK88-AL88-AK88*$B$11+AK88*$B$12</f>
        <v/>
      </c>
      <c r="AN88" s="39">
        <f>AE88*$B$13</f>
        <v/>
      </c>
      <c r="AO88" s="39">
        <f>AK88*'1_Assumptions'!$E$26</f>
        <v/>
      </c>
      <c r="AP88" s="39">
        <f>AE88+AO88-AN88</f>
        <v/>
      </c>
      <c r="AQ88" s="39">
        <f>AK88*$B$14</f>
        <v/>
      </c>
      <c r="AR88" s="39">
        <f>AG88-AQ88</f>
        <v/>
      </c>
      <c r="AS88" s="39">
        <f>AH88+AK88*$B$16-AH88/$B$18</f>
        <v/>
      </c>
      <c r="AT88" s="39">
        <f>AK88*'1_Assumptions'!$B$56/365+AL88*'1_Assumptions'!$B$57/365+AK88*'1_Assumptions'!$B$54-AL88*'1_Assumptions'!$B$58/365-AK88*'1_Assumptions'!$B$55</f>
        <v/>
      </c>
      <c r="AU88" s="39">
        <f>AM88*(1-$B$15)+AN88+AQ88+IF($B$19=1,AK88*'1_Assumptions'!$E$32,0)-AO88-(AT88-AI88)</f>
        <v/>
      </c>
      <c r="AV88" s="39">
        <f>AK88*(1+'1_Assumptions'!$E$15)</f>
        <v/>
      </c>
      <c r="AW88" s="39">
        <f>AV88*(1-('1_Assumptions'!$E$21+$B88))</f>
        <v/>
      </c>
      <c r="AX88" s="39">
        <f>AV88-AW88-AV88*$B$11+AV88*$B$12</f>
        <v/>
      </c>
      <c r="AY88" s="39">
        <f>AP88*$B$13</f>
        <v/>
      </c>
      <c r="AZ88" s="39">
        <f>AV88*'1_Assumptions'!$E$27</f>
        <v/>
      </c>
      <c r="BA88" s="39">
        <f>AP88+AZ88-AY88</f>
        <v/>
      </c>
      <c r="BB88" s="39">
        <f>AV88*$B$14</f>
        <v/>
      </c>
      <c r="BC88" s="39">
        <f>AR88-BB88</f>
        <v/>
      </c>
      <c r="BD88" s="39">
        <f>AS88+AV88*$B$16-AS88/$B$18</f>
        <v/>
      </c>
      <c r="BE88" s="39">
        <f>AV88*'1_Assumptions'!$B$56/365+AW88*'1_Assumptions'!$B$57/365+AV88*'1_Assumptions'!$B$54-AW88*'1_Assumptions'!$B$58/365-AV88*'1_Assumptions'!$B$55</f>
        <v/>
      </c>
      <c r="BF88" s="39">
        <f>AX88*(1-$B$15)+AY88+BB88+IF($B$19=1,AV88*'1_Assumptions'!$E$33,0)-AZ88-(BE88-AT88)</f>
        <v/>
      </c>
      <c r="BG88" s="39">
        <f>N88/(1+$B$21)^(1-0.5*$B$23)+Y88/(1+$B$21)^(2-0.5*$B$23)+AJ88/(1+$B$21)^(3-0.5*$B$23)+AU88/(1+$B$21)^(4-0.5*$B$23)+BF88/(1+$B$21)^(5-0.5*$B$23)</f>
        <v/>
      </c>
      <c r="BH88" s="39">
        <f>BE88+BA88+BC88+$B$9+IF($B$17=1,BD88,0)</f>
        <v/>
      </c>
      <c r="BI88" s="19">
        <f>IF($B$32=2,$B$21+$B$33,IF(BH88=0,0,BL88/BH88))</f>
        <v/>
      </c>
      <c r="BJ88" s="19">
        <f>IF(BI88=0,9,$C88/BI88)</f>
        <v/>
      </c>
      <c r="BK88" s="55">
        <f>IF(OR(BH88&lt;=0,BI88&lt;=$B$21,BJ88&gt;=1,BJ88&lt;0),1,0)</f>
        <v/>
      </c>
      <c r="BL88" s="39">
        <f>AX88*(1-$B$20)</f>
        <v/>
      </c>
      <c r="BM88" s="39">
        <f>IF(BK88=1,BL88,AX88*(1+$C88)*(1-$B$20)*(1-BJ88))</f>
        <v/>
      </c>
      <c r="BN88" s="39">
        <f>IF(BK88=1,BL88/$B$21,BM88/($B$21-$C88))</f>
        <v/>
      </c>
      <c r="BO88" s="39">
        <f>BN88/(1+$B$21)^(5-0.5*$B$23)</f>
        <v/>
      </c>
      <c r="BP88" s="39">
        <f>BG88+BO88</f>
        <v/>
      </c>
      <c r="BQ88" s="39">
        <f>BP88*(1+$B$21)^$B$24-N88*$B$24*(1+$B$21)^($B$24/2)</f>
        <v/>
      </c>
      <c r="BR88" s="39">
        <f>BQ88-$B$25+$B$26+$B$27</f>
        <v/>
      </c>
      <c r="BS88" s="39">
        <f>IF($B$28=1,$B$30,BR88*$B$29)</f>
        <v/>
      </c>
      <c r="BT88" s="39">
        <f>BR88-BS88</f>
        <v/>
      </c>
      <c r="BU88" s="58">
        <f>BT88/$B$31</f>
        <v/>
      </c>
    </row>
    <row r="89">
      <c r="A89" s="17" t="inlineStr">
        <is>
          <t>5-3</t>
        </is>
      </c>
      <c r="B89" s="26" t="n">
        <v>0.04</v>
      </c>
      <c r="C89" s="26" t="n">
        <v>0.025</v>
      </c>
      <c r="D89" s="39">
        <f>$B$5*(1+'1_Assumptions'!$E$11)</f>
        <v/>
      </c>
      <c r="E89" s="39">
        <f>D89*(1-('1_Assumptions'!$E$17+IF('1_Assumptions'!$B$39=1,0,$B89)))</f>
        <v/>
      </c>
      <c r="F89" s="39">
        <f>D89-E89-D89*$B$11+D89*$B$12</f>
        <v/>
      </c>
      <c r="G89" s="39">
        <f>$B$6*$B$13</f>
        <v/>
      </c>
      <c r="H89" s="39">
        <f>D89*'1_Assumptions'!$E$23</f>
        <v/>
      </c>
      <c r="I89" s="39">
        <f>$B$6+H89-G89</f>
        <v/>
      </c>
      <c r="J89" s="39">
        <f>D89*$B$14</f>
        <v/>
      </c>
      <c r="K89" s="39">
        <f>$B$7-J89</f>
        <v/>
      </c>
      <c r="L89" s="39">
        <f>$B$8+D89*$B$16-$B$8/$B$18</f>
        <v/>
      </c>
      <c r="M89" s="39">
        <f>D89*'1_Assumptions'!$B$56/365+E89*'1_Assumptions'!$B$57/365+D89*'1_Assumptions'!$B$54-E89*'1_Assumptions'!$B$58/365-D89*'1_Assumptions'!$B$55</f>
        <v/>
      </c>
      <c r="N89" s="39">
        <f>F89*(1-$B$15)+G89+J89+IF($B$19=1,D89*'1_Assumptions'!$E$29,0)-H89-(M89-$B$10)</f>
        <v/>
      </c>
      <c r="O89" s="39">
        <f>D89*(1+'1_Assumptions'!$E$12)</f>
        <v/>
      </c>
      <c r="P89" s="39">
        <f>O89*(1-('1_Assumptions'!$E$18+$B89))</f>
        <v/>
      </c>
      <c r="Q89" s="39">
        <f>O89-P89-O89*$B$11+O89*$B$12</f>
        <v/>
      </c>
      <c r="R89" s="39">
        <f>I89*$B$13</f>
        <v/>
      </c>
      <c r="S89" s="39">
        <f>O89*'1_Assumptions'!$E$24</f>
        <v/>
      </c>
      <c r="T89" s="39">
        <f>I89+S89-R89</f>
        <v/>
      </c>
      <c r="U89" s="39">
        <f>O89*$B$14</f>
        <v/>
      </c>
      <c r="V89" s="39">
        <f>K89-U89</f>
        <v/>
      </c>
      <c r="W89" s="39">
        <f>L89+O89*$B$16-L89/$B$18</f>
        <v/>
      </c>
      <c r="X89" s="39">
        <f>O89*'1_Assumptions'!$B$56/365+P89*'1_Assumptions'!$B$57/365+O89*'1_Assumptions'!$B$54-P89*'1_Assumptions'!$B$58/365-O89*'1_Assumptions'!$B$55</f>
        <v/>
      </c>
      <c r="Y89" s="39">
        <f>Q89*(1-$B$15)+R89+U89+IF($B$19=1,O89*'1_Assumptions'!$E$30,0)-S89-(X89-M89)</f>
        <v/>
      </c>
      <c r="Z89" s="39">
        <f>O89*(1+'1_Assumptions'!$E$13)</f>
        <v/>
      </c>
      <c r="AA89" s="39">
        <f>Z89*(1-('1_Assumptions'!$E$19+$B89))</f>
        <v/>
      </c>
      <c r="AB89" s="39">
        <f>Z89-AA89-Z89*$B$11+Z89*$B$12</f>
        <v/>
      </c>
      <c r="AC89" s="39">
        <f>T89*$B$13</f>
        <v/>
      </c>
      <c r="AD89" s="39">
        <f>Z89*'1_Assumptions'!$E$25</f>
        <v/>
      </c>
      <c r="AE89" s="39">
        <f>T89+AD89-AC89</f>
        <v/>
      </c>
      <c r="AF89" s="39">
        <f>Z89*$B$14</f>
        <v/>
      </c>
      <c r="AG89" s="39">
        <f>V89-AF89</f>
        <v/>
      </c>
      <c r="AH89" s="39">
        <f>W89+Z89*$B$16-W89/$B$18</f>
        <v/>
      </c>
      <c r="AI89" s="39">
        <f>Z89*'1_Assumptions'!$B$56/365+AA89*'1_Assumptions'!$B$57/365+Z89*'1_Assumptions'!$B$54-AA89*'1_Assumptions'!$B$58/365-Z89*'1_Assumptions'!$B$55</f>
        <v/>
      </c>
      <c r="AJ89" s="39">
        <f>AB89*(1-$B$15)+AC89+AF89+IF($B$19=1,Z89*'1_Assumptions'!$E$31,0)-AD89-(AI89-X89)</f>
        <v/>
      </c>
      <c r="AK89" s="39">
        <f>Z89*(1+'1_Assumptions'!$E$14)</f>
        <v/>
      </c>
      <c r="AL89" s="39">
        <f>AK89*(1-('1_Assumptions'!$E$20+$B89))</f>
        <v/>
      </c>
      <c r="AM89" s="39">
        <f>AK89-AL89-AK89*$B$11+AK89*$B$12</f>
        <v/>
      </c>
      <c r="AN89" s="39">
        <f>AE89*$B$13</f>
        <v/>
      </c>
      <c r="AO89" s="39">
        <f>AK89*'1_Assumptions'!$E$26</f>
        <v/>
      </c>
      <c r="AP89" s="39">
        <f>AE89+AO89-AN89</f>
        <v/>
      </c>
      <c r="AQ89" s="39">
        <f>AK89*$B$14</f>
        <v/>
      </c>
      <c r="AR89" s="39">
        <f>AG89-AQ89</f>
        <v/>
      </c>
      <c r="AS89" s="39">
        <f>AH89+AK89*$B$16-AH89/$B$18</f>
        <v/>
      </c>
      <c r="AT89" s="39">
        <f>AK89*'1_Assumptions'!$B$56/365+AL89*'1_Assumptions'!$B$57/365+AK89*'1_Assumptions'!$B$54-AL89*'1_Assumptions'!$B$58/365-AK89*'1_Assumptions'!$B$55</f>
        <v/>
      </c>
      <c r="AU89" s="39">
        <f>AM89*(1-$B$15)+AN89+AQ89+IF($B$19=1,AK89*'1_Assumptions'!$E$32,0)-AO89-(AT89-AI89)</f>
        <v/>
      </c>
      <c r="AV89" s="39">
        <f>AK89*(1+'1_Assumptions'!$E$15)</f>
        <v/>
      </c>
      <c r="AW89" s="39">
        <f>AV89*(1-('1_Assumptions'!$E$21+$B89))</f>
        <v/>
      </c>
      <c r="AX89" s="39">
        <f>AV89-AW89-AV89*$B$11+AV89*$B$12</f>
        <v/>
      </c>
      <c r="AY89" s="39">
        <f>AP89*$B$13</f>
        <v/>
      </c>
      <c r="AZ89" s="39">
        <f>AV89*'1_Assumptions'!$E$27</f>
        <v/>
      </c>
      <c r="BA89" s="39">
        <f>AP89+AZ89-AY89</f>
        <v/>
      </c>
      <c r="BB89" s="39">
        <f>AV89*$B$14</f>
        <v/>
      </c>
      <c r="BC89" s="39">
        <f>AR89-BB89</f>
        <v/>
      </c>
      <c r="BD89" s="39">
        <f>AS89+AV89*$B$16-AS89/$B$18</f>
        <v/>
      </c>
      <c r="BE89" s="39">
        <f>AV89*'1_Assumptions'!$B$56/365+AW89*'1_Assumptions'!$B$57/365+AV89*'1_Assumptions'!$B$54-AW89*'1_Assumptions'!$B$58/365-AV89*'1_Assumptions'!$B$55</f>
        <v/>
      </c>
      <c r="BF89" s="39">
        <f>AX89*(1-$B$15)+AY89+BB89+IF($B$19=1,AV89*'1_Assumptions'!$E$33,0)-AZ89-(BE89-AT89)</f>
        <v/>
      </c>
      <c r="BG89" s="39">
        <f>N89/(1+$B$21)^(1-0.5*$B$23)+Y89/(1+$B$21)^(2-0.5*$B$23)+AJ89/(1+$B$21)^(3-0.5*$B$23)+AU89/(1+$B$21)^(4-0.5*$B$23)+BF89/(1+$B$21)^(5-0.5*$B$23)</f>
        <v/>
      </c>
      <c r="BH89" s="39">
        <f>BE89+BA89+BC89+$B$9+IF($B$17=1,BD89,0)</f>
        <v/>
      </c>
      <c r="BI89" s="19">
        <f>IF($B$32=2,$B$21+$B$33,IF(BH89=0,0,BL89/BH89))</f>
        <v/>
      </c>
      <c r="BJ89" s="19">
        <f>IF(BI89=0,9,$C89/BI89)</f>
        <v/>
      </c>
      <c r="BK89" s="55">
        <f>IF(OR(BH89&lt;=0,BI89&lt;=$B$21,BJ89&gt;=1,BJ89&lt;0),1,0)</f>
        <v/>
      </c>
      <c r="BL89" s="39">
        <f>AX89*(1-$B$20)</f>
        <v/>
      </c>
      <c r="BM89" s="39">
        <f>IF(BK89=1,BL89,AX89*(1+$C89)*(1-$B$20)*(1-BJ89))</f>
        <v/>
      </c>
      <c r="BN89" s="39">
        <f>IF(BK89=1,BL89/$B$21,BM89/($B$21-$C89))</f>
        <v/>
      </c>
      <c r="BO89" s="39">
        <f>BN89/(1+$B$21)^(5-0.5*$B$23)</f>
        <v/>
      </c>
      <c r="BP89" s="39">
        <f>BG89+BO89</f>
        <v/>
      </c>
      <c r="BQ89" s="39">
        <f>BP89*(1+$B$21)^$B$24-N89*$B$24*(1+$B$21)^($B$24/2)</f>
        <v/>
      </c>
      <c r="BR89" s="39">
        <f>BQ89-$B$25+$B$26+$B$27</f>
        <v/>
      </c>
      <c r="BS89" s="39">
        <f>IF($B$28=1,$B$30,BR89*$B$29)</f>
        <v/>
      </c>
      <c r="BT89" s="39">
        <f>BR89-BS89</f>
        <v/>
      </c>
      <c r="BU89" s="58">
        <f>BT89/$B$31</f>
        <v/>
      </c>
    </row>
    <row r="90">
      <c r="A90" s="17" t="inlineStr">
        <is>
          <t>5-4</t>
        </is>
      </c>
      <c r="B90" s="26" t="n">
        <v>0.04</v>
      </c>
      <c r="C90" s="26" t="n">
        <v>0.0325</v>
      </c>
      <c r="D90" s="39">
        <f>$B$5*(1+'1_Assumptions'!$E$11)</f>
        <v/>
      </c>
      <c r="E90" s="39">
        <f>D90*(1-('1_Assumptions'!$E$17+IF('1_Assumptions'!$B$39=1,0,$B90)))</f>
        <v/>
      </c>
      <c r="F90" s="39">
        <f>D90-E90-D90*$B$11+D90*$B$12</f>
        <v/>
      </c>
      <c r="G90" s="39">
        <f>$B$6*$B$13</f>
        <v/>
      </c>
      <c r="H90" s="39">
        <f>D90*'1_Assumptions'!$E$23</f>
        <v/>
      </c>
      <c r="I90" s="39">
        <f>$B$6+H90-G90</f>
        <v/>
      </c>
      <c r="J90" s="39">
        <f>D90*$B$14</f>
        <v/>
      </c>
      <c r="K90" s="39">
        <f>$B$7-J90</f>
        <v/>
      </c>
      <c r="L90" s="39">
        <f>$B$8+D90*$B$16-$B$8/$B$18</f>
        <v/>
      </c>
      <c r="M90" s="39">
        <f>D90*'1_Assumptions'!$B$56/365+E90*'1_Assumptions'!$B$57/365+D90*'1_Assumptions'!$B$54-E90*'1_Assumptions'!$B$58/365-D90*'1_Assumptions'!$B$55</f>
        <v/>
      </c>
      <c r="N90" s="39">
        <f>F90*(1-$B$15)+G90+J90+IF($B$19=1,D90*'1_Assumptions'!$E$29,0)-H90-(M90-$B$10)</f>
        <v/>
      </c>
      <c r="O90" s="39">
        <f>D90*(1+'1_Assumptions'!$E$12)</f>
        <v/>
      </c>
      <c r="P90" s="39">
        <f>O90*(1-('1_Assumptions'!$E$18+$B90))</f>
        <v/>
      </c>
      <c r="Q90" s="39">
        <f>O90-P90-O90*$B$11+O90*$B$12</f>
        <v/>
      </c>
      <c r="R90" s="39">
        <f>I90*$B$13</f>
        <v/>
      </c>
      <c r="S90" s="39">
        <f>O90*'1_Assumptions'!$E$24</f>
        <v/>
      </c>
      <c r="T90" s="39">
        <f>I90+S90-R90</f>
        <v/>
      </c>
      <c r="U90" s="39">
        <f>O90*$B$14</f>
        <v/>
      </c>
      <c r="V90" s="39">
        <f>K90-U90</f>
        <v/>
      </c>
      <c r="W90" s="39">
        <f>L90+O90*$B$16-L90/$B$18</f>
        <v/>
      </c>
      <c r="X90" s="39">
        <f>O90*'1_Assumptions'!$B$56/365+P90*'1_Assumptions'!$B$57/365+O90*'1_Assumptions'!$B$54-P90*'1_Assumptions'!$B$58/365-O90*'1_Assumptions'!$B$55</f>
        <v/>
      </c>
      <c r="Y90" s="39">
        <f>Q90*(1-$B$15)+R90+U90+IF($B$19=1,O90*'1_Assumptions'!$E$30,0)-S90-(X90-M90)</f>
        <v/>
      </c>
      <c r="Z90" s="39">
        <f>O90*(1+'1_Assumptions'!$E$13)</f>
        <v/>
      </c>
      <c r="AA90" s="39">
        <f>Z90*(1-('1_Assumptions'!$E$19+$B90))</f>
        <v/>
      </c>
      <c r="AB90" s="39">
        <f>Z90-AA90-Z90*$B$11+Z90*$B$12</f>
        <v/>
      </c>
      <c r="AC90" s="39">
        <f>T90*$B$13</f>
        <v/>
      </c>
      <c r="AD90" s="39">
        <f>Z90*'1_Assumptions'!$E$25</f>
        <v/>
      </c>
      <c r="AE90" s="39">
        <f>T90+AD90-AC90</f>
        <v/>
      </c>
      <c r="AF90" s="39">
        <f>Z90*$B$14</f>
        <v/>
      </c>
      <c r="AG90" s="39">
        <f>V90-AF90</f>
        <v/>
      </c>
      <c r="AH90" s="39">
        <f>W90+Z90*$B$16-W90/$B$18</f>
        <v/>
      </c>
      <c r="AI90" s="39">
        <f>Z90*'1_Assumptions'!$B$56/365+AA90*'1_Assumptions'!$B$57/365+Z90*'1_Assumptions'!$B$54-AA90*'1_Assumptions'!$B$58/365-Z90*'1_Assumptions'!$B$55</f>
        <v/>
      </c>
      <c r="AJ90" s="39">
        <f>AB90*(1-$B$15)+AC90+AF90+IF($B$19=1,Z90*'1_Assumptions'!$E$31,0)-AD90-(AI90-X90)</f>
        <v/>
      </c>
      <c r="AK90" s="39">
        <f>Z90*(1+'1_Assumptions'!$E$14)</f>
        <v/>
      </c>
      <c r="AL90" s="39">
        <f>AK90*(1-('1_Assumptions'!$E$20+$B90))</f>
        <v/>
      </c>
      <c r="AM90" s="39">
        <f>AK90-AL90-AK90*$B$11+AK90*$B$12</f>
        <v/>
      </c>
      <c r="AN90" s="39">
        <f>AE90*$B$13</f>
        <v/>
      </c>
      <c r="AO90" s="39">
        <f>AK90*'1_Assumptions'!$E$26</f>
        <v/>
      </c>
      <c r="AP90" s="39">
        <f>AE90+AO90-AN90</f>
        <v/>
      </c>
      <c r="AQ90" s="39">
        <f>AK90*$B$14</f>
        <v/>
      </c>
      <c r="AR90" s="39">
        <f>AG90-AQ90</f>
        <v/>
      </c>
      <c r="AS90" s="39">
        <f>AH90+AK90*$B$16-AH90/$B$18</f>
        <v/>
      </c>
      <c r="AT90" s="39">
        <f>AK90*'1_Assumptions'!$B$56/365+AL90*'1_Assumptions'!$B$57/365+AK90*'1_Assumptions'!$B$54-AL90*'1_Assumptions'!$B$58/365-AK90*'1_Assumptions'!$B$55</f>
        <v/>
      </c>
      <c r="AU90" s="39">
        <f>AM90*(1-$B$15)+AN90+AQ90+IF($B$19=1,AK90*'1_Assumptions'!$E$32,0)-AO90-(AT90-AI90)</f>
        <v/>
      </c>
      <c r="AV90" s="39">
        <f>AK90*(1+'1_Assumptions'!$E$15)</f>
        <v/>
      </c>
      <c r="AW90" s="39">
        <f>AV90*(1-('1_Assumptions'!$E$21+$B90))</f>
        <v/>
      </c>
      <c r="AX90" s="39">
        <f>AV90-AW90-AV90*$B$11+AV90*$B$12</f>
        <v/>
      </c>
      <c r="AY90" s="39">
        <f>AP90*$B$13</f>
        <v/>
      </c>
      <c r="AZ90" s="39">
        <f>AV90*'1_Assumptions'!$E$27</f>
        <v/>
      </c>
      <c r="BA90" s="39">
        <f>AP90+AZ90-AY90</f>
        <v/>
      </c>
      <c r="BB90" s="39">
        <f>AV90*$B$14</f>
        <v/>
      </c>
      <c r="BC90" s="39">
        <f>AR90-BB90</f>
        <v/>
      </c>
      <c r="BD90" s="39">
        <f>AS90+AV90*$B$16-AS90/$B$18</f>
        <v/>
      </c>
      <c r="BE90" s="39">
        <f>AV90*'1_Assumptions'!$B$56/365+AW90*'1_Assumptions'!$B$57/365+AV90*'1_Assumptions'!$B$54-AW90*'1_Assumptions'!$B$58/365-AV90*'1_Assumptions'!$B$55</f>
        <v/>
      </c>
      <c r="BF90" s="39">
        <f>AX90*(1-$B$15)+AY90+BB90+IF($B$19=1,AV90*'1_Assumptions'!$E$33,0)-AZ90-(BE90-AT90)</f>
        <v/>
      </c>
      <c r="BG90" s="39">
        <f>N90/(1+$B$21)^(1-0.5*$B$23)+Y90/(1+$B$21)^(2-0.5*$B$23)+AJ90/(1+$B$21)^(3-0.5*$B$23)+AU90/(1+$B$21)^(4-0.5*$B$23)+BF90/(1+$B$21)^(5-0.5*$B$23)</f>
        <v/>
      </c>
      <c r="BH90" s="39">
        <f>BE90+BA90+BC90+$B$9+IF($B$17=1,BD90,0)</f>
        <v/>
      </c>
      <c r="BI90" s="19">
        <f>IF($B$32=2,$B$21+$B$33,IF(BH90=0,0,BL90/BH90))</f>
        <v/>
      </c>
      <c r="BJ90" s="19">
        <f>IF(BI90=0,9,$C90/BI90)</f>
        <v/>
      </c>
      <c r="BK90" s="55">
        <f>IF(OR(BH90&lt;=0,BI90&lt;=$B$21,BJ90&gt;=1,BJ90&lt;0),1,0)</f>
        <v/>
      </c>
      <c r="BL90" s="39">
        <f>AX90*(1-$B$20)</f>
        <v/>
      </c>
      <c r="BM90" s="39">
        <f>IF(BK90=1,BL90,AX90*(1+$C90)*(1-$B$20)*(1-BJ90))</f>
        <v/>
      </c>
      <c r="BN90" s="39">
        <f>IF(BK90=1,BL90/$B$21,BM90/($B$21-$C90))</f>
        <v/>
      </c>
      <c r="BO90" s="39">
        <f>BN90/(1+$B$21)^(5-0.5*$B$23)</f>
        <v/>
      </c>
      <c r="BP90" s="39">
        <f>BG90+BO90</f>
        <v/>
      </c>
      <c r="BQ90" s="39">
        <f>BP90*(1+$B$21)^$B$24-N90*$B$24*(1+$B$21)^($B$24/2)</f>
        <v/>
      </c>
      <c r="BR90" s="39">
        <f>BQ90-$B$25+$B$26+$B$27</f>
        <v/>
      </c>
      <c r="BS90" s="39">
        <f>IF($B$28=1,$B$30,BR90*$B$29)</f>
        <v/>
      </c>
      <c r="BT90" s="39">
        <f>BR90-BS90</f>
        <v/>
      </c>
      <c r="BU90" s="58">
        <f>BT90/$B$31</f>
        <v/>
      </c>
    </row>
    <row r="91">
      <c r="A91" s="17" t="inlineStr">
        <is>
          <t>5-5</t>
        </is>
      </c>
      <c r="B91" s="26" t="n">
        <v>0.04</v>
      </c>
      <c r="C91" s="26" t="n">
        <v>0.04</v>
      </c>
      <c r="D91" s="39">
        <f>$B$5*(1+'1_Assumptions'!$E$11)</f>
        <v/>
      </c>
      <c r="E91" s="39">
        <f>D91*(1-('1_Assumptions'!$E$17+IF('1_Assumptions'!$B$39=1,0,$B91)))</f>
        <v/>
      </c>
      <c r="F91" s="39">
        <f>D91-E91-D91*$B$11+D91*$B$12</f>
        <v/>
      </c>
      <c r="G91" s="39">
        <f>$B$6*$B$13</f>
        <v/>
      </c>
      <c r="H91" s="39">
        <f>D91*'1_Assumptions'!$E$23</f>
        <v/>
      </c>
      <c r="I91" s="39">
        <f>$B$6+H91-G91</f>
        <v/>
      </c>
      <c r="J91" s="39">
        <f>D91*$B$14</f>
        <v/>
      </c>
      <c r="K91" s="39">
        <f>$B$7-J91</f>
        <v/>
      </c>
      <c r="L91" s="39">
        <f>$B$8+D91*$B$16-$B$8/$B$18</f>
        <v/>
      </c>
      <c r="M91" s="39">
        <f>D91*'1_Assumptions'!$B$56/365+E91*'1_Assumptions'!$B$57/365+D91*'1_Assumptions'!$B$54-E91*'1_Assumptions'!$B$58/365-D91*'1_Assumptions'!$B$55</f>
        <v/>
      </c>
      <c r="N91" s="39">
        <f>F91*(1-$B$15)+G91+J91+IF($B$19=1,D91*'1_Assumptions'!$E$29,0)-H91-(M91-$B$10)</f>
        <v/>
      </c>
      <c r="O91" s="39">
        <f>D91*(1+'1_Assumptions'!$E$12)</f>
        <v/>
      </c>
      <c r="P91" s="39">
        <f>O91*(1-('1_Assumptions'!$E$18+$B91))</f>
        <v/>
      </c>
      <c r="Q91" s="39">
        <f>O91-P91-O91*$B$11+O91*$B$12</f>
        <v/>
      </c>
      <c r="R91" s="39">
        <f>I91*$B$13</f>
        <v/>
      </c>
      <c r="S91" s="39">
        <f>O91*'1_Assumptions'!$E$24</f>
        <v/>
      </c>
      <c r="T91" s="39">
        <f>I91+S91-R91</f>
        <v/>
      </c>
      <c r="U91" s="39">
        <f>O91*$B$14</f>
        <v/>
      </c>
      <c r="V91" s="39">
        <f>K91-U91</f>
        <v/>
      </c>
      <c r="W91" s="39">
        <f>L91+O91*$B$16-L91/$B$18</f>
        <v/>
      </c>
      <c r="X91" s="39">
        <f>O91*'1_Assumptions'!$B$56/365+P91*'1_Assumptions'!$B$57/365+O91*'1_Assumptions'!$B$54-P91*'1_Assumptions'!$B$58/365-O91*'1_Assumptions'!$B$55</f>
        <v/>
      </c>
      <c r="Y91" s="39">
        <f>Q91*(1-$B$15)+R91+U91+IF($B$19=1,O91*'1_Assumptions'!$E$30,0)-S91-(X91-M91)</f>
        <v/>
      </c>
      <c r="Z91" s="39">
        <f>O91*(1+'1_Assumptions'!$E$13)</f>
        <v/>
      </c>
      <c r="AA91" s="39">
        <f>Z91*(1-('1_Assumptions'!$E$19+$B91))</f>
        <v/>
      </c>
      <c r="AB91" s="39">
        <f>Z91-AA91-Z91*$B$11+Z91*$B$12</f>
        <v/>
      </c>
      <c r="AC91" s="39">
        <f>T91*$B$13</f>
        <v/>
      </c>
      <c r="AD91" s="39">
        <f>Z91*'1_Assumptions'!$E$25</f>
        <v/>
      </c>
      <c r="AE91" s="39">
        <f>T91+AD91-AC91</f>
        <v/>
      </c>
      <c r="AF91" s="39">
        <f>Z91*$B$14</f>
        <v/>
      </c>
      <c r="AG91" s="39">
        <f>V91-AF91</f>
        <v/>
      </c>
      <c r="AH91" s="39">
        <f>W91+Z91*$B$16-W91/$B$18</f>
        <v/>
      </c>
      <c r="AI91" s="39">
        <f>Z91*'1_Assumptions'!$B$56/365+AA91*'1_Assumptions'!$B$57/365+Z91*'1_Assumptions'!$B$54-AA91*'1_Assumptions'!$B$58/365-Z91*'1_Assumptions'!$B$55</f>
        <v/>
      </c>
      <c r="AJ91" s="39">
        <f>AB91*(1-$B$15)+AC91+AF91+IF($B$19=1,Z91*'1_Assumptions'!$E$31,0)-AD91-(AI91-X91)</f>
        <v/>
      </c>
      <c r="AK91" s="39">
        <f>Z91*(1+'1_Assumptions'!$E$14)</f>
        <v/>
      </c>
      <c r="AL91" s="39">
        <f>AK91*(1-('1_Assumptions'!$E$20+$B91))</f>
        <v/>
      </c>
      <c r="AM91" s="39">
        <f>AK91-AL91-AK91*$B$11+AK91*$B$12</f>
        <v/>
      </c>
      <c r="AN91" s="39">
        <f>AE91*$B$13</f>
        <v/>
      </c>
      <c r="AO91" s="39">
        <f>AK91*'1_Assumptions'!$E$26</f>
        <v/>
      </c>
      <c r="AP91" s="39">
        <f>AE91+AO91-AN91</f>
        <v/>
      </c>
      <c r="AQ91" s="39">
        <f>AK91*$B$14</f>
        <v/>
      </c>
      <c r="AR91" s="39">
        <f>AG91-AQ91</f>
        <v/>
      </c>
      <c r="AS91" s="39">
        <f>AH91+AK91*$B$16-AH91/$B$18</f>
        <v/>
      </c>
      <c r="AT91" s="39">
        <f>AK91*'1_Assumptions'!$B$56/365+AL91*'1_Assumptions'!$B$57/365+AK91*'1_Assumptions'!$B$54-AL91*'1_Assumptions'!$B$58/365-AK91*'1_Assumptions'!$B$55</f>
        <v/>
      </c>
      <c r="AU91" s="39">
        <f>AM91*(1-$B$15)+AN91+AQ91+IF($B$19=1,AK91*'1_Assumptions'!$E$32,0)-AO91-(AT91-AI91)</f>
        <v/>
      </c>
      <c r="AV91" s="39">
        <f>AK91*(1+'1_Assumptions'!$E$15)</f>
        <v/>
      </c>
      <c r="AW91" s="39">
        <f>AV91*(1-('1_Assumptions'!$E$21+$B91))</f>
        <v/>
      </c>
      <c r="AX91" s="39">
        <f>AV91-AW91-AV91*$B$11+AV91*$B$12</f>
        <v/>
      </c>
      <c r="AY91" s="39">
        <f>AP91*$B$13</f>
        <v/>
      </c>
      <c r="AZ91" s="39">
        <f>AV91*'1_Assumptions'!$E$27</f>
        <v/>
      </c>
      <c r="BA91" s="39">
        <f>AP91+AZ91-AY91</f>
        <v/>
      </c>
      <c r="BB91" s="39">
        <f>AV91*$B$14</f>
        <v/>
      </c>
      <c r="BC91" s="39">
        <f>AR91-BB91</f>
        <v/>
      </c>
      <c r="BD91" s="39">
        <f>AS91+AV91*$B$16-AS91/$B$18</f>
        <v/>
      </c>
      <c r="BE91" s="39">
        <f>AV91*'1_Assumptions'!$B$56/365+AW91*'1_Assumptions'!$B$57/365+AV91*'1_Assumptions'!$B$54-AW91*'1_Assumptions'!$B$58/365-AV91*'1_Assumptions'!$B$55</f>
        <v/>
      </c>
      <c r="BF91" s="39">
        <f>AX91*(1-$B$15)+AY91+BB91+IF($B$19=1,AV91*'1_Assumptions'!$E$33,0)-AZ91-(BE91-AT91)</f>
        <v/>
      </c>
      <c r="BG91" s="39">
        <f>N91/(1+$B$21)^(1-0.5*$B$23)+Y91/(1+$B$21)^(2-0.5*$B$23)+AJ91/(1+$B$21)^(3-0.5*$B$23)+AU91/(1+$B$21)^(4-0.5*$B$23)+BF91/(1+$B$21)^(5-0.5*$B$23)</f>
        <v/>
      </c>
      <c r="BH91" s="39">
        <f>BE91+BA91+BC91+$B$9+IF($B$17=1,BD91,0)</f>
        <v/>
      </c>
      <c r="BI91" s="19">
        <f>IF($B$32=2,$B$21+$B$33,IF(BH91=0,0,BL91/BH91))</f>
        <v/>
      </c>
      <c r="BJ91" s="19">
        <f>IF(BI91=0,9,$C91/BI91)</f>
        <v/>
      </c>
      <c r="BK91" s="55">
        <f>IF(OR(BH91&lt;=0,BI91&lt;=$B$21,BJ91&gt;=1,BJ91&lt;0),1,0)</f>
        <v/>
      </c>
      <c r="BL91" s="39">
        <f>AX91*(1-$B$20)</f>
        <v/>
      </c>
      <c r="BM91" s="39">
        <f>IF(BK91=1,BL91,AX91*(1+$C91)*(1-$B$20)*(1-BJ91))</f>
        <v/>
      </c>
      <c r="BN91" s="39">
        <f>IF(BK91=1,BL91/$B$21,BM91/($B$21-$C91))</f>
        <v/>
      </c>
      <c r="BO91" s="39">
        <f>BN91/(1+$B$21)^(5-0.5*$B$23)</f>
        <v/>
      </c>
      <c r="BP91" s="39">
        <f>BG91+BO91</f>
        <v/>
      </c>
      <c r="BQ91" s="39">
        <f>BP91*(1+$B$21)^$B$24-N91*$B$24*(1+$B$21)^($B$24/2)</f>
        <v/>
      </c>
      <c r="BR91" s="39">
        <f>BQ91-$B$25+$B$26+$B$27</f>
        <v/>
      </c>
      <c r="BS91" s="39">
        <f>IF($B$28=1,$B$30,BR91*$B$29)</f>
        <v/>
      </c>
      <c r="BT91" s="39">
        <f>BR91-BS91</f>
        <v/>
      </c>
      <c r="BU91" s="58">
        <f>BT91/$B$31</f>
        <v/>
      </c>
    </row>
    <row r="93">
      <c r="A93" s="4" t="inlineStr">
        <is>
          <t>模块 C：营收增速平移 × 毛利率平移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</row>
    <row r="94">
      <c r="A94" s="15" t="inlineStr">
        <is>
          <t>两个判断项同时动 —— 历史上它们并非独立</t>
        </is>
      </c>
    </row>
    <row r="95">
      <c r="A95" s="10" t="inlineStr">
        <is>
          <t>场景</t>
        </is>
      </c>
      <c r="B95" s="10" t="inlineStr">
        <is>
          <t>营收增速 Δ</t>
        </is>
      </c>
      <c r="C95" s="10" t="inlineStr">
        <is>
          <t>毛利率 Δ</t>
        </is>
      </c>
      <c r="D95" s="10" t="inlineStr">
        <is>
          <t>营收1</t>
        </is>
      </c>
      <c r="E95" s="10" t="inlineStr">
        <is>
          <t>成本1</t>
        </is>
      </c>
      <c r="F95" s="10" t="inlineStr">
        <is>
          <t>EBIT1</t>
        </is>
      </c>
      <c r="G95" s="10" t="inlineStr">
        <is>
          <t>折旧1</t>
        </is>
      </c>
      <c r="H95" s="10" t="inlineStr">
        <is>
          <t>资本开支1</t>
        </is>
      </c>
      <c r="I95" s="10" t="inlineStr">
        <is>
          <t>期末固资1</t>
        </is>
      </c>
      <c r="J95" s="10" t="inlineStr">
        <is>
          <t>摊销1</t>
        </is>
      </c>
      <c r="K95" s="10" t="inlineStr">
        <is>
          <t>商誉无形1</t>
        </is>
      </c>
      <c r="L95" s="10" t="inlineStr">
        <is>
          <t>研发资本1</t>
        </is>
      </c>
      <c r="M95" s="10" t="inlineStr">
        <is>
          <t>NWC1</t>
        </is>
      </c>
      <c r="N95" s="10" t="inlineStr">
        <is>
          <t>FCFF1</t>
        </is>
      </c>
      <c r="O95" s="10" t="inlineStr">
        <is>
          <t>营收2</t>
        </is>
      </c>
      <c r="P95" s="10" t="inlineStr">
        <is>
          <t>成本2</t>
        </is>
      </c>
      <c r="Q95" s="10" t="inlineStr">
        <is>
          <t>EBIT2</t>
        </is>
      </c>
      <c r="R95" s="10" t="inlineStr">
        <is>
          <t>折旧2</t>
        </is>
      </c>
      <c r="S95" s="10" t="inlineStr">
        <is>
          <t>资本开支2</t>
        </is>
      </c>
      <c r="T95" s="10" t="inlineStr">
        <is>
          <t>期末固资2</t>
        </is>
      </c>
      <c r="U95" s="10" t="inlineStr">
        <is>
          <t>摊销2</t>
        </is>
      </c>
      <c r="V95" s="10" t="inlineStr">
        <is>
          <t>商誉无形2</t>
        </is>
      </c>
      <c r="W95" s="10" t="inlineStr">
        <is>
          <t>研发资本2</t>
        </is>
      </c>
      <c r="X95" s="10" t="inlineStr">
        <is>
          <t>NWC2</t>
        </is>
      </c>
      <c r="Y95" s="10" t="inlineStr">
        <is>
          <t>FCFF2</t>
        </is>
      </c>
      <c r="Z95" s="10" t="inlineStr">
        <is>
          <t>营收3</t>
        </is>
      </c>
      <c r="AA95" s="10" t="inlineStr">
        <is>
          <t>成本3</t>
        </is>
      </c>
      <c r="AB95" s="10" t="inlineStr">
        <is>
          <t>EBIT3</t>
        </is>
      </c>
      <c r="AC95" s="10" t="inlineStr">
        <is>
          <t>折旧3</t>
        </is>
      </c>
      <c r="AD95" s="10" t="inlineStr">
        <is>
          <t>资本开支3</t>
        </is>
      </c>
      <c r="AE95" s="10" t="inlineStr">
        <is>
          <t>期末固资3</t>
        </is>
      </c>
      <c r="AF95" s="10" t="inlineStr">
        <is>
          <t>摊销3</t>
        </is>
      </c>
      <c r="AG95" s="10" t="inlineStr">
        <is>
          <t>商誉无形3</t>
        </is>
      </c>
      <c r="AH95" s="10" t="inlineStr">
        <is>
          <t>研发资本3</t>
        </is>
      </c>
      <c r="AI95" s="10" t="inlineStr">
        <is>
          <t>NWC3</t>
        </is>
      </c>
      <c r="AJ95" s="10" t="inlineStr">
        <is>
          <t>FCFF3</t>
        </is>
      </c>
      <c r="AK95" s="10" t="inlineStr">
        <is>
          <t>营收4</t>
        </is>
      </c>
      <c r="AL95" s="10" t="inlineStr">
        <is>
          <t>成本4</t>
        </is>
      </c>
      <c r="AM95" s="10" t="inlineStr">
        <is>
          <t>EBIT4</t>
        </is>
      </c>
      <c r="AN95" s="10" t="inlineStr">
        <is>
          <t>折旧4</t>
        </is>
      </c>
      <c r="AO95" s="10" t="inlineStr">
        <is>
          <t>资本开支4</t>
        </is>
      </c>
      <c r="AP95" s="10" t="inlineStr">
        <is>
          <t>期末固资4</t>
        </is>
      </c>
      <c r="AQ95" s="10" t="inlineStr">
        <is>
          <t>摊销4</t>
        </is>
      </c>
      <c r="AR95" s="10" t="inlineStr">
        <is>
          <t>商誉无形4</t>
        </is>
      </c>
      <c r="AS95" s="10" t="inlineStr">
        <is>
          <t>研发资本4</t>
        </is>
      </c>
      <c r="AT95" s="10" t="inlineStr">
        <is>
          <t>NWC4</t>
        </is>
      </c>
      <c r="AU95" s="10" t="inlineStr">
        <is>
          <t>FCFF4</t>
        </is>
      </c>
      <c r="AV95" s="10" t="inlineStr">
        <is>
          <t>营收5</t>
        </is>
      </c>
      <c r="AW95" s="10" t="inlineStr">
        <is>
          <t>成本5</t>
        </is>
      </c>
      <c r="AX95" s="10" t="inlineStr">
        <is>
          <t>EBIT5</t>
        </is>
      </c>
      <c r="AY95" s="10" t="inlineStr">
        <is>
          <t>折旧5</t>
        </is>
      </c>
      <c r="AZ95" s="10" t="inlineStr">
        <is>
          <t>资本开支5</t>
        </is>
      </c>
      <c r="BA95" s="10" t="inlineStr">
        <is>
          <t>期末固资5</t>
        </is>
      </c>
      <c r="BB95" s="10" t="inlineStr">
        <is>
          <t>摊销5</t>
        </is>
      </c>
      <c r="BC95" s="10" t="inlineStr">
        <is>
          <t>商誉无形5</t>
        </is>
      </c>
      <c r="BD95" s="10" t="inlineStr">
        <is>
          <t>研发资本5</t>
        </is>
      </c>
      <c r="BE95" s="10" t="inlineStr">
        <is>
          <t>NWC5</t>
        </is>
      </c>
      <c r="BF95" s="10" t="inlineStr">
        <is>
          <t>FCFF5</t>
        </is>
      </c>
      <c r="BG95" s="10" t="inlineStr">
        <is>
          <t>PV明确期</t>
        </is>
      </c>
      <c r="BH95" s="10" t="inlineStr">
        <is>
          <t>终值IC</t>
        </is>
      </c>
      <c r="BI95" s="10" t="inlineStr">
        <is>
          <t>终值ROIC</t>
        </is>
      </c>
      <c r="BJ95" s="10" t="inlineStr">
        <is>
          <t>再投资率</t>
        </is>
      </c>
      <c r="BK95" s="10" t="inlineStr">
        <is>
          <t>降级</t>
        </is>
      </c>
      <c r="BL95" s="10" t="inlineStr">
        <is>
          <t>终值NOPAT</t>
        </is>
      </c>
      <c r="BM95" s="10" t="inlineStr">
        <is>
          <t>终值FCFF</t>
        </is>
      </c>
      <c r="BN95" s="10" t="inlineStr">
        <is>
          <t>TV</t>
        </is>
      </c>
      <c r="BO95" s="10" t="inlineStr">
        <is>
          <t>PV(TV)</t>
        </is>
      </c>
      <c r="BP95" s="10" t="inlineStr">
        <is>
          <t>EV0</t>
        </is>
      </c>
      <c r="BQ95" s="10" t="inlineStr">
        <is>
          <t>EV</t>
        </is>
      </c>
      <c r="BR95" s="10" t="inlineStr">
        <is>
          <t>全体权益</t>
        </is>
      </c>
      <c r="BS95" s="10" t="inlineStr">
        <is>
          <t>少数股东</t>
        </is>
      </c>
      <c r="BT95" s="10" t="inlineStr">
        <is>
          <t>归母权益</t>
        </is>
      </c>
      <c r="BU95" s="10" t="inlineStr">
        <is>
          <t>每股</t>
        </is>
      </c>
    </row>
    <row r="96">
      <c r="A96" s="17" t="inlineStr">
        <is>
          <t>1-1</t>
        </is>
      </c>
      <c r="B96" s="26" t="n">
        <v>-0.06</v>
      </c>
      <c r="C96" s="26" t="n">
        <v>-0.04</v>
      </c>
      <c r="D96" s="39">
        <f>$B$5*(1+('1_Assumptions'!$E$11+IF('1_Assumptions'!$B$39=1,0,$B96)))</f>
        <v/>
      </c>
      <c r="E96" s="39">
        <f>D96*(1-('1_Assumptions'!$E$17+IF('1_Assumptions'!$B$39=1,0,$C96)))</f>
        <v/>
      </c>
      <c r="F96" s="39">
        <f>D96-E96-D96*$B$11+D96*$B$12</f>
        <v/>
      </c>
      <c r="G96" s="39">
        <f>$B$6*$B$13</f>
        <v/>
      </c>
      <c r="H96" s="39">
        <f>D96*'1_Assumptions'!$E$23</f>
        <v/>
      </c>
      <c r="I96" s="39">
        <f>$B$6+H96-G96</f>
        <v/>
      </c>
      <c r="J96" s="39">
        <f>D96*$B$14</f>
        <v/>
      </c>
      <c r="K96" s="39">
        <f>$B$7-J96</f>
        <v/>
      </c>
      <c r="L96" s="39">
        <f>$B$8+D96*$B$16-$B$8/$B$18</f>
        <v/>
      </c>
      <c r="M96" s="39">
        <f>D96*'1_Assumptions'!$B$56/365+E96*'1_Assumptions'!$B$57/365+D96*'1_Assumptions'!$B$54-E96*'1_Assumptions'!$B$58/365-D96*'1_Assumptions'!$B$55</f>
        <v/>
      </c>
      <c r="N96" s="39">
        <f>F96*(1-$B$15)+G96+J96+IF($B$19=1,D96*'1_Assumptions'!$E$29,0)-H96-(M96-$B$10)</f>
        <v/>
      </c>
      <c r="O96" s="39">
        <f>D96*(1+('1_Assumptions'!$E$12+$B96))</f>
        <v/>
      </c>
      <c r="P96" s="39">
        <f>O96*(1-('1_Assumptions'!$E$18+$C96))</f>
        <v/>
      </c>
      <c r="Q96" s="39">
        <f>O96-P96-O96*$B$11+O96*$B$12</f>
        <v/>
      </c>
      <c r="R96" s="39">
        <f>I96*$B$13</f>
        <v/>
      </c>
      <c r="S96" s="39">
        <f>O96*'1_Assumptions'!$E$24</f>
        <v/>
      </c>
      <c r="T96" s="39">
        <f>I96+S96-R96</f>
        <v/>
      </c>
      <c r="U96" s="39">
        <f>O96*$B$14</f>
        <v/>
      </c>
      <c r="V96" s="39">
        <f>K96-U96</f>
        <v/>
      </c>
      <c r="W96" s="39">
        <f>L96+O96*$B$16-L96/$B$18</f>
        <v/>
      </c>
      <c r="X96" s="39">
        <f>O96*'1_Assumptions'!$B$56/365+P96*'1_Assumptions'!$B$57/365+O96*'1_Assumptions'!$B$54-P96*'1_Assumptions'!$B$58/365-O96*'1_Assumptions'!$B$55</f>
        <v/>
      </c>
      <c r="Y96" s="39">
        <f>Q96*(1-$B$15)+R96+U96+IF($B$19=1,O96*'1_Assumptions'!$E$30,0)-S96-(X96-M96)</f>
        <v/>
      </c>
      <c r="Z96" s="39">
        <f>O96*(1+('1_Assumptions'!$E$13+$B96))</f>
        <v/>
      </c>
      <c r="AA96" s="39">
        <f>Z96*(1-('1_Assumptions'!$E$19+$C96))</f>
        <v/>
      </c>
      <c r="AB96" s="39">
        <f>Z96-AA96-Z96*$B$11+Z96*$B$12</f>
        <v/>
      </c>
      <c r="AC96" s="39">
        <f>T96*$B$13</f>
        <v/>
      </c>
      <c r="AD96" s="39">
        <f>Z96*'1_Assumptions'!$E$25</f>
        <v/>
      </c>
      <c r="AE96" s="39">
        <f>T96+AD96-AC96</f>
        <v/>
      </c>
      <c r="AF96" s="39">
        <f>Z96*$B$14</f>
        <v/>
      </c>
      <c r="AG96" s="39">
        <f>V96-AF96</f>
        <v/>
      </c>
      <c r="AH96" s="39">
        <f>W96+Z96*$B$16-W96/$B$18</f>
        <v/>
      </c>
      <c r="AI96" s="39">
        <f>Z96*'1_Assumptions'!$B$56/365+AA96*'1_Assumptions'!$B$57/365+Z96*'1_Assumptions'!$B$54-AA96*'1_Assumptions'!$B$58/365-Z96*'1_Assumptions'!$B$55</f>
        <v/>
      </c>
      <c r="AJ96" s="39">
        <f>AB96*(1-$B$15)+AC96+AF96+IF($B$19=1,Z96*'1_Assumptions'!$E$31,0)-AD96-(AI96-X96)</f>
        <v/>
      </c>
      <c r="AK96" s="39">
        <f>Z96*(1+('1_Assumptions'!$E$14+$B96))</f>
        <v/>
      </c>
      <c r="AL96" s="39">
        <f>AK96*(1-('1_Assumptions'!$E$20+$C96))</f>
        <v/>
      </c>
      <c r="AM96" s="39">
        <f>AK96-AL96-AK96*$B$11+AK96*$B$12</f>
        <v/>
      </c>
      <c r="AN96" s="39">
        <f>AE96*$B$13</f>
        <v/>
      </c>
      <c r="AO96" s="39">
        <f>AK96*'1_Assumptions'!$E$26</f>
        <v/>
      </c>
      <c r="AP96" s="39">
        <f>AE96+AO96-AN96</f>
        <v/>
      </c>
      <c r="AQ96" s="39">
        <f>AK96*$B$14</f>
        <v/>
      </c>
      <c r="AR96" s="39">
        <f>AG96-AQ96</f>
        <v/>
      </c>
      <c r="AS96" s="39">
        <f>AH96+AK96*$B$16-AH96/$B$18</f>
        <v/>
      </c>
      <c r="AT96" s="39">
        <f>AK96*'1_Assumptions'!$B$56/365+AL96*'1_Assumptions'!$B$57/365+AK96*'1_Assumptions'!$B$54-AL96*'1_Assumptions'!$B$58/365-AK96*'1_Assumptions'!$B$55</f>
        <v/>
      </c>
      <c r="AU96" s="39">
        <f>AM96*(1-$B$15)+AN96+AQ96+IF($B$19=1,AK96*'1_Assumptions'!$E$32,0)-AO96-(AT96-AI96)</f>
        <v/>
      </c>
      <c r="AV96" s="39">
        <f>AK96*(1+('1_Assumptions'!$E$15+$B96))</f>
        <v/>
      </c>
      <c r="AW96" s="39">
        <f>AV96*(1-('1_Assumptions'!$E$21+$C96))</f>
        <v/>
      </c>
      <c r="AX96" s="39">
        <f>AV96-AW96-AV96*$B$11+AV96*$B$12</f>
        <v/>
      </c>
      <c r="AY96" s="39">
        <f>AP96*$B$13</f>
        <v/>
      </c>
      <c r="AZ96" s="39">
        <f>AV96*'1_Assumptions'!$E$27</f>
        <v/>
      </c>
      <c r="BA96" s="39">
        <f>AP96+AZ96-AY96</f>
        <v/>
      </c>
      <c r="BB96" s="39">
        <f>AV96*$B$14</f>
        <v/>
      </c>
      <c r="BC96" s="39">
        <f>AR96-BB96</f>
        <v/>
      </c>
      <c r="BD96" s="39">
        <f>AS96+AV96*$B$16-AS96/$B$18</f>
        <v/>
      </c>
      <c r="BE96" s="39">
        <f>AV96*'1_Assumptions'!$B$56/365+AW96*'1_Assumptions'!$B$57/365+AV96*'1_Assumptions'!$B$54-AW96*'1_Assumptions'!$B$58/365-AV96*'1_Assumptions'!$B$55</f>
        <v/>
      </c>
      <c r="BF96" s="39">
        <f>AX96*(1-$B$15)+AY96+BB96+IF($B$19=1,AV96*'1_Assumptions'!$E$33,0)-AZ96-(BE96-AT96)</f>
        <v/>
      </c>
      <c r="BG96" s="39">
        <f>N96/(1+$B$21)^(1-0.5*$B$23)+Y96/(1+$B$21)^(2-0.5*$B$23)+AJ96/(1+$B$21)^(3-0.5*$B$23)+AU96/(1+$B$21)^(4-0.5*$B$23)+BF96/(1+$B$21)^(5-0.5*$B$23)</f>
        <v/>
      </c>
      <c r="BH96" s="39">
        <f>BE96+BA96+BC96+$B$9+IF($B$17=1,BD96,0)</f>
        <v/>
      </c>
      <c r="BI96" s="19">
        <f>IF($B$32=2,$B$21+$B$33,IF(BH96=0,0,BL96/BH96))</f>
        <v/>
      </c>
      <c r="BJ96" s="19">
        <f>IF(BI96=0,9,$B$22/BI96)</f>
        <v/>
      </c>
      <c r="BK96" s="55">
        <f>IF(OR(BH96&lt;=0,BI96&lt;=$B$21,BJ96&gt;=1,BJ96&lt;0),1,0)</f>
        <v/>
      </c>
      <c r="BL96" s="39">
        <f>AX96*(1-$B$20)</f>
        <v/>
      </c>
      <c r="BM96" s="39">
        <f>IF(BK96=1,BL96,AX96*(1+$B$22)*(1-$B$20)*(1-BJ96))</f>
        <v/>
      </c>
      <c r="BN96" s="39">
        <f>IF(BK96=1,BL96/$B$21,BM96/($B$21-$B$22))</f>
        <v/>
      </c>
      <c r="BO96" s="39">
        <f>BN96/(1+$B$21)^(5-0.5*$B$23)</f>
        <v/>
      </c>
      <c r="BP96" s="39">
        <f>BG96+BO96</f>
        <v/>
      </c>
      <c r="BQ96" s="39">
        <f>BP96*(1+$B$21)^$B$24-N96*$B$24*(1+$B$21)^($B$24/2)</f>
        <v/>
      </c>
      <c r="BR96" s="39">
        <f>BQ96-$B$25+$B$26+$B$27</f>
        <v/>
      </c>
      <c r="BS96" s="39">
        <f>IF($B$28=1,$B$30,BR96*$B$29)</f>
        <v/>
      </c>
      <c r="BT96" s="39">
        <f>BR96-BS96</f>
        <v/>
      </c>
      <c r="BU96" s="58">
        <f>BT96/$B$31</f>
        <v/>
      </c>
    </row>
    <row r="97">
      <c r="A97" s="17" t="inlineStr">
        <is>
          <t>1-2</t>
        </is>
      </c>
      <c r="B97" s="26" t="n">
        <v>-0.06</v>
      </c>
      <c r="C97" s="26" t="n">
        <v>-0.02</v>
      </c>
      <c r="D97" s="39">
        <f>$B$5*(1+('1_Assumptions'!$E$11+IF('1_Assumptions'!$B$39=1,0,$B97)))</f>
        <v/>
      </c>
      <c r="E97" s="39">
        <f>D97*(1-('1_Assumptions'!$E$17+IF('1_Assumptions'!$B$39=1,0,$C97)))</f>
        <v/>
      </c>
      <c r="F97" s="39">
        <f>D97-E97-D97*$B$11+D97*$B$12</f>
        <v/>
      </c>
      <c r="G97" s="39">
        <f>$B$6*$B$13</f>
        <v/>
      </c>
      <c r="H97" s="39">
        <f>D97*'1_Assumptions'!$E$23</f>
        <v/>
      </c>
      <c r="I97" s="39">
        <f>$B$6+H97-G97</f>
        <v/>
      </c>
      <c r="J97" s="39">
        <f>D97*$B$14</f>
        <v/>
      </c>
      <c r="K97" s="39">
        <f>$B$7-J97</f>
        <v/>
      </c>
      <c r="L97" s="39">
        <f>$B$8+D97*$B$16-$B$8/$B$18</f>
        <v/>
      </c>
      <c r="M97" s="39">
        <f>D97*'1_Assumptions'!$B$56/365+E97*'1_Assumptions'!$B$57/365+D97*'1_Assumptions'!$B$54-E97*'1_Assumptions'!$B$58/365-D97*'1_Assumptions'!$B$55</f>
        <v/>
      </c>
      <c r="N97" s="39">
        <f>F97*(1-$B$15)+G97+J97+IF($B$19=1,D97*'1_Assumptions'!$E$29,0)-H97-(M97-$B$10)</f>
        <v/>
      </c>
      <c r="O97" s="39">
        <f>D97*(1+('1_Assumptions'!$E$12+$B97))</f>
        <v/>
      </c>
      <c r="P97" s="39">
        <f>O97*(1-('1_Assumptions'!$E$18+$C97))</f>
        <v/>
      </c>
      <c r="Q97" s="39">
        <f>O97-P97-O97*$B$11+O97*$B$12</f>
        <v/>
      </c>
      <c r="R97" s="39">
        <f>I97*$B$13</f>
        <v/>
      </c>
      <c r="S97" s="39">
        <f>O97*'1_Assumptions'!$E$24</f>
        <v/>
      </c>
      <c r="T97" s="39">
        <f>I97+S97-R97</f>
        <v/>
      </c>
      <c r="U97" s="39">
        <f>O97*$B$14</f>
        <v/>
      </c>
      <c r="V97" s="39">
        <f>K97-U97</f>
        <v/>
      </c>
      <c r="W97" s="39">
        <f>L97+O97*$B$16-L97/$B$18</f>
        <v/>
      </c>
      <c r="X97" s="39">
        <f>O97*'1_Assumptions'!$B$56/365+P97*'1_Assumptions'!$B$57/365+O97*'1_Assumptions'!$B$54-P97*'1_Assumptions'!$B$58/365-O97*'1_Assumptions'!$B$55</f>
        <v/>
      </c>
      <c r="Y97" s="39">
        <f>Q97*(1-$B$15)+R97+U97+IF($B$19=1,O97*'1_Assumptions'!$E$30,0)-S97-(X97-M97)</f>
        <v/>
      </c>
      <c r="Z97" s="39">
        <f>O97*(1+('1_Assumptions'!$E$13+$B97))</f>
        <v/>
      </c>
      <c r="AA97" s="39">
        <f>Z97*(1-('1_Assumptions'!$E$19+$C97))</f>
        <v/>
      </c>
      <c r="AB97" s="39">
        <f>Z97-AA97-Z97*$B$11+Z97*$B$12</f>
        <v/>
      </c>
      <c r="AC97" s="39">
        <f>T97*$B$13</f>
        <v/>
      </c>
      <c r="AD97" s="39">
        <f>Z97*'1_Assumptions'!$E$25</f>
        <v/>
      </c>
      <c r="AE97" s="39">
        <f>T97+AD97-AC97</f>
        <v/>
      </c>
      <c r="AF97" s="39">
        <f>Z97*$B$14</f>
        <v/>
      </c>
      <c r="AG97" s="39">
        <f>V97-AF97</f>
        <v/>
      </c>
      <c r="AH97" s="39">
        <f>W97+Z97*$B$16-W97/$B$18</f>
        <v/>
      </c>
      <c r="AI97" s="39">
        <f>Z97*'1_Assumptions'!$B$56/365+AA97*'1_Assumptions'!$B$57/365+Z97*'1_Assumptions'!$B$54-AA97*'1_Assumptions'!$B$58/365-Z97*'1_Assumptions'!$B$55</f>
        <v/>
      </c>
      <c r="AJ97" s="39">
        <f>AB97*(1-$B$15)+AC97+AF97+IF($B$19=1,Z97*'1_Assumptions'!$E$31,0)-AD97-(AI97-X97)</f>
        <v/>
      </c>
      <c r="AK97" s="39">
        <f>Z97*(1+('1_Assumptions'!$E$14+$B97))</f>
        <v/>
      </c>
      <c r="AL97" s="39">
        <f>AK97*(1-('1_Assumptions'!$E$20+$C97))</f>
        <v/>
      </c>
      <c r="AM97" s="39">
        <f>AK97-AL97-AK97*$B$11+AK97*$B$12</f>
        <v/>
      </c>
      <c r="AN97" s="39">
        <f>AE97*$B$13</f>
        <v/>
      </c>
      <c r="AO97" s="39">
        <f>AK97*'1_Assumptions'!$E$26</f>
        <v/>
      </c>
      <c r="AP97" s="39">
        <f>AE97+AO97-AN97</f>
        <v/>
      </c>
      <c r="AQ97" s="39">
        <f>AK97*$B$14</f>
        <v/>
      </c>
      <c r="AR97" s="39">
        <f>AG97-AQ97</f>
        <v/>
      </c>
      <c r="AS97" s="39">
        <f>AH97+AK97*$B$16-AH97/$B$18</f>
        <v/>
      </c>
      <c r="AT97" s="39">
        <f>AK97*'1_Assumptions'!$B$56/365+AL97*'1_Assumptions'!$B$57/365+AK97*'1_Assumptions'!$B$54-AL97*'1_Assumptions'!$B$58/365-AK97*'1_Assumptions'!$B$55</f>
        <v/>
      </c>
      <c r="AU97" s="39">
        <f>AM97*(1-$B$15)+AN97+AQ97+IF($B$19=1,AK97*'1_Assumptions'!$E$32,0)-AO97-(AT97-AI97)</f>
        <v/>
      </c>
      <c r="AV97" s="39">
        <f>AK97*(1+('1_Assumptions'!$E$15+$B97))</f>
        <v/>
      </c>
      <c r="AW97" s="39">
        <f>AV97*(1-('1_Assumptions'!$E$21+$C97))</f>
        <v/>
      </c>
      <c r="AX97" s="39">
        <f>AV97-AW97-AV97*$B$11+AV97*$B$12</f>
        <v/>
      </c>
      <c r="AY97" s="39">
        <f>AP97*$B$13</f>
        <v/>
      </c>
      <c r="AZ97" s="39">
        <f>AV97*'1_Assumptions'!$E$27</f>
        <v/>
      </c>
      <c r="BA97" s="39">
        <f>AP97+AZ97-AY97</f>
        <v/>
      </c>
      <c r="BB97" s="39">
        <f>AV97*$B$14</f>
        <v/>
      </c>
      <c r="BC97" s="39">
        <f>AR97-BB97</f>
        <v/>
      </c>
      <c r="BD97" s="39">
        <f>AS97+AV97*$B$16-AS97/$B$18</f>
        <v/>
      </c>
      <c r="BE97" s="39">
        <f>AV97*'1_Assumptions'!$B$56/365+AW97*'1_Assumptions'!$B$57/365+AV97*'1_Assumptions'!$B$54-AW97*'1_Assumptions'!$B$58/365-AV97*'1_Assumptions'!$B$55</f>
        <v/>
      </c>
      <c r="BF97" s="39">
        <f>AX97*(1-$B$15)+AY97+BB97+IF($B$19=1,AV97*'1_Assumptions'!$E$33,0)-AZ97-(BE97-AT97)</f>
        <v/>
      </c>
      <c r="BG97" s="39">
        <f>N97/(1+$B$21)^(1-0.5*$B$23)+Y97/(1+$B$21)^(2-0.5*$B$23)+AJ97/(1+$B$21)^(3-0.5*$B$23)+AU97/(1+$B$21)^(4-0.5*$B$23)+BF97/(1+$B$21)^(5-0.5*$B$23)</f>
        <v/>
      </c>
      <c r="BH97" s="39">
        <f>BE97+BA97+BC97+$B$9+IF($B$17=1,BD97,0)</f>
        <v/>
      </c>
      <c r="BI97" s="19">
        <f>IF($B$32=2,$B$21+$B$33,IF(BH97=0,0,BL97/BH97))</f>
        <v/>
      </c>
      <c r="BJ97" s="19">
        <f>IF(BI97=0,9,$B$22/BI97)</f>
        <v/>
      </c>
      <c r="BK97" s="55">
        <f>IF(OR(BH97&lt;=0,BI97&lt;=$B$21,BJ97&gt;=1,BJ97&lt;0),1,0)</f>
        <v/>
      </c>
      <c r="BL97" s="39">
        <f>AX97*(1-$B$20)</f>
        <v/>
      </c>
      <c r="BM97" s="39">
        <f>IF(BK97=1,BL97,AX97*(1+$B$22)*(1-$B$20)*(1-BJ97))</f>
        <v/>
      </c>
      <c r="BN97" s="39">
        <f>IF(BK97=1,BL97/$B$21,BM97/($B$21-$B$22))</f>
        <v/>
      </c>
      <c r="BO97" s="39">
        <f>BN97/(1+$B$21)^(5-0.5*$B$23)</f>
        <v/>
      </c>
      <c r="BP97" s="39">
        <f>BG97+BO97</f>
        <v/>
      </c>
      <c r="BQ97" s="39">
        <f>BP97*(1+$B$21)^$B$24-N97*$B$24*(1+$B$21)^($B$24/2)</f>
        <v/>
      </c>
      <c r="BR97" s="39">
        <f>BQ97-$B$25+$B$26+$B$27</f>
        <v/>
      </c>
      <c r="BS97" s="39">
        <f>IF($B$28=1,$B$30,BR97*$B$29)</f>
        <v/>
      </c>
      <c r="BT97" s="39">
        <f>BR97-BS97</f>
        <v/>
      </c>
      <c r="BU97" s="58">
        <f>BT97/$B$31</f>
        <v/>
      </c>
    </row>
    <row r="98">
      <c r="A98" s="17" t="inlineStr">
        <is>
          <t>1-3</t>
        </is>
      </c>
      <c r="B98" s="26" t="n">
        <v>-0.06</v>
      </c>
      <c r="C98" s="26" t="n">
        <v>0</v>
      </c>
      <c r="D98" s="39">
        <f>$B$5*(1+('1_Assumptions'!$E$11+IF('1_Assumptions'!$B$39=1,0,$B98)))</f>
        <v/>
      </c>
      <c r="E98" s="39">
        <f>D98*(1-('1_Assumptions'!$E$17+IF('1_Assumptions'!$B$39=1,0,$C98)))</f>
        <v/>
      </c>
      <c r="F98" s="39">
        <f>D98-E98-D98*$B$11+D98*$B$12</f>
        <v/>
      </c>
      <c r="G98" s="39">
        <f>$B$6*$B$13</f>
        <v/>
      </c>
      <c r="H98" s="39">
        <f>D98*'1_Assumptions'!$E$23</f>
        <v/>
      </c>
      <c r="I98" s="39">
        <f>$B$6+H98-G98</f>
        <v/>
      </c>
      <c r="J98" s="39">
        <f>D98*$B$14</f>
        <v/>
      </c>
      <c r="K98" s="39">
        <f>$B$7-J98</f>
        <v/>
      </c>
      <c r="L98" s="39">
        <f>$B$8+D98*$B$16-$B$8/$B$18</f>
        <v/>
      </c>
      <c r="M98" s="39">
        <f>D98*'1_Assumptions'!$B$56/365+E98*'1_Assumptions'!$B$57/365+D98*'1_Assumptions'!$B$54-E98*'1_Assumptions'!$B$58/365-D98*'1_Assumptions'!$B$55</f>
        <v/>
      </c>
      <c r="N98" s="39">
        <f>F98*(1-$B$15)+G98+J98+IF($B$19=1,D98*'1_Assumptions'!$E$29,0)-H98-(M98-$B$10)</f>
        <v/>
      </c>
      <c r="O98" s="39">
        <f>D98*(1+('1_Assumptions'!$E$12+$B98))</f>
        <v/>
      </c>
      <c r="P98" s="39">
        <f>O98*(1-('1_Assumptions'!$E$18+$C98))</f>
        <v/>
      </c>
      <c r="Q98" s="39">
        <f>O98-P98-O98*$B$11+O98*$B$12</f>
        <v/>
      </c>
      <c r="R98" s="39">
        <f>I98*$B$13</f>
        <v/>
      </c>
      <c r="S98" s="39">
        <f>O98*'1_Assumptions'!$E$24</f>
        <v/>
      </c>
      <c r="T98" s="39">
        <f>I98+S98-R98</f>
        <v/>
      </c>
      <c r="U98" s="39">
        <f>O98*$B$14</f>
        <v/>
      </c>
      <c r="V98" s="39">
        <f>K98-U98</f>
        <v/>
      </c>
      <c r="W98" s="39">
        <f>L98+O98*$B$16-L98/$B$18</f>
        <v/>
      </c>
      <c r="X98" s="39">
        <f>O98*'1_Assumptions'!$B$56/365+P98*'1_Assumptions'!$B$57/365+O98*'1_Assumptions'!$B$54-P98*'1_Assumptions'!$B$58/365-O98*'1_Assumptions'!$B$55</f>
        <v/>
      </c>
      <c r="Y98" s="39">
        <f>Q98*(1-$B$15)+R98+U98+IF($B$19=1,O98*'1_Assumptions'!$E$30,0)-S98-(X98-M98)</f>
        <v/>
      </c>
      <c r="Z98" s="39">
        <f>O98*(1+('1_Assumptions'!$E$13+$B98))</f>
        <v/>
      </c>
      <c r="AA98" s="39">
        <f>Z98*(1-('1_Assumptions'!$E$19+$C98))</f>
        <v/>
      </c>
      <c r="AB98" s="39">
        <f>Z98-AA98-Z98*$B$11+Z98*$B$12</f>
        <v/>
      </c>
      <c r="AC98" s="39">
        <f>T98*$B$13</f>
        <v/>
      </c>
      <c r="AD98" s="39">
        <f>Z98*'1_Assumptions'!$E$25</f>
        <v/>
      </c>
      <c r="AE98" s="39">
        <f>T98+AD98-AC98</f>
        <v/>
      </c>
      <c r="AF98" s="39">
        <f>Z98*$B$14</f>
        <v/>
      </c>
      <c r="AG98" s="39">
        <f>V98-AF98</f>
        <v/>
      </c>
      <c r="AH98" s="39">
        <f>W98+Z98*$B$16-W98/$B$18</f>
        <v/>
      </c>
      <c r="AI98" s="39">
        <f>Z98*'1_Assumptions'!$B$56/365+AA98*'1_Assumptions'!$B$57/365+Z98*'1_Assumptions'!$B$54-AA98*'1_Assumptions'!$B$58/365-Z98*'1_Assumptions'!$B$55</f>
        <v/>
      </c>
      <c r="AJ98" s="39">
        <f>AB98*(1-$B$15)+AC98+AF98+IF($B$19=1,Z98*'1_Assumptions'!$E$31,0)-AD98-(AI98-X98)</f>
        <v/>
      </c>
      <c r="AK98" s="39">
        <f>Z98*(1+('1_Assumptions'!$E$14+$B98))</f>
        <v/>
      </c>
      <c r="AL98" s="39">
        <f>AK98*(1-('1_Assumptions'!$E$20+$C98))</f>
        <v/>
      </c>
      <c r="AM98" s="39">
        <f>AK98-AL98-AK98*$B$11+AK98*$B$12</f>
        <v/>
      </c>
      <c r="AN98" s="39">
        <f>AE98*$B$13</f>
        <v/>
      </c>
      <c r="AO98" s="39">
        <f>AK98*'1_Assumptions'!$E$26</f>
        <v/>
      </c>
      <c r="AP98" s="39">
        <f>AE98+AO98-AN98</f>
        <v/>
      </c>
      <c r="AQ98" s="39">
        <f>AK98*$B$14</f>
        <v/>
      </c>
      <c r="AR98" s="39">
        <f>AG98-AQ98</f>
        <v/>
      </c>
      <c r="AS98" s="39">
        <f>AH98+AK98*$B$16-AH98/$B$18</f>
        <v/>
      </c>
      <c r="AT98" s="39">
        <f>AK98*'1_Assumptions'!$B$56/365+AL98*'1_Assumptions'!$B$57/365+AK98*'1_Assumptions'!$B$54-AL98*'1_Assumptions'!$B$58/365-AK98*'1_Assumptions'!$B$55</f>
        <v/>
      </c>
      <c r="AU98" s="39">
        <f>AM98*(1-$B$15)+AN98+AQ98+IF($B$19=1,AK98*'1_Assumptions'!$E$32,0)-AO98-(AT98-AI98)</f>
        <v/>
      </c>
      <c r="AV98" s="39">
        <f>AK98*(1+('1_Assumptions'!$E$15+$B98))</f>
        <v/>
      </c>
      <c r="AW98" s="39">
        <f>AV98*(1-('1_Assumptions'!$E$21+$C98))</f>
        <v/>
      </c>
      <c r="AX98" s="39">
        <f>AV98-AW98-AV98*$B$11+AV98*$B$12</f>
        <v/>
      </c>
      <c r="AY98" s="39">
        <f>AP98*$B$13</f>
        <v/>
      </c>
      <c r="AZ98" s="39">
        <f>AV98*'1_Assumptions'!$E$27</f>
        <v/>
      </c>
      <c r="BA98" s="39">
        <f>AP98+AZ98-AY98</f>
        <v/>
      </c>
      <c r="BB98" s="39">
        <f>AV98*$B$14</f>
        <v/>
      </c>
      <c r="BC98" s="39">
        <f>AR98-BB98</f>
        <v/>
      </c>
      <c r="BD98" s="39">
        <f>AS98+AV98*$B$16-AS98/$B$18</f>
        <v/>
      </c>
      <c r="BE98" s="39">
        <f>AV98*'1_Assumptions'!$B$56/365+AW98*'1_Assumptions'!$B$57/365+AV98*'1_Assumptions'!$B$54-AW98*'1_Assumptions'!$B$58/365-AV98*'1_Assumptions'!$B$55</f>
        <v/>
      </c>
      <c r="BF98" s="39">
        <f>AX98*(1-$B$15)+AY98+BB98+IF($B$19=1,AV98*'1_Assumptions'!$E$33,0)-AZ98-(BE98-AT98)</f>
        <v/>
      </c>
      <c r="BG98" s="39">
        <f>N98/(1+$B$21)^(1-0.5*$B$23)+Y98/(1+$B$21)^(2-0.5*$B$23)+AJ98/(1+$B$21)^(3-0.5*$B$23)+AU98/(1+$B$21)^(4-0.5*$B$23)+BF98/(1+$B$21)^(5-0.5*$B$23)</f>
        <v/>
      </c>
      <c r="BH98" s="39">
        <f>BE98+BA98+BC98+$B$9+IF($B$17=1,BD98,0)</f>
        <v/>
      </c>
      <c r="BI98" s="19">
        <f>IF($B$32=2,$B$21+$B$33,IF(BH98=0,0,BL98/BH98))</f>
        <v/>
      </c>
      <c r="BJ98" s="19">
        <f>IF(BI98=0,9,$B$22/BI98)</f>
        <v/>
      </c>
      <c r="BK98" s="55">
        <f>IF(OR(BH98&lt;=0,BI98&lt;=$B$21,BJ98&gt;=1,BJ98&lt;0),1,0)</f>
        <v/>
      </c>
      <c r="BL98" s="39">
        <f>AX98*(1-$B$20)</f>
        <v/>
      </c>
      <c r="BM98" s="39">
        <f>IF(BK98=1,BL98,AX98*(1+$B$22)*(1-$B$20)*(1-BJ98))</f>
        <v/>
      </c>
      <c r="BN98" s="39">
        <f>IF(BK98=1,BL98/$B$21,BM98/($B$21-$B$22))</f>
        <v/>
      </c>
      <c r="BO98" s="39">
        <f>BN98/(1+$B$21)^(5-0.5*$B$23)</f>
        <v/>
      </c>
      <c r="BP98" s="39">
        <f>BG98+BO98</f>
        <v/>
      </c>
      <c r="BQ98" s="39">
        <f>BP98*(1+$B$21)^$B$24-N98*$B$24*(1+$B$21)^($B$24/2)</f>
        <v/>
      </c>
      <c r="BR98" s="39">
        <f>BQ98-$B$25+$B$26+$B$27</f>
        <v/>
      </c>
      <c r="BS98" s="39">
        <f>IF($B$28=1,$B$30,BR98*$B$29)</f>
        <v/>
      </c>
      <c r="BT98" s="39">
        <f>BR98-BS98</f>
        <v/>
      </c>
      <c r="BU98" s="58">
        <f>BT98/$B$31</f>
        <v/>
      </c>
    </row>
    <row r="99">
      <c r="A99" s="17" t="inlineStr">
        <is>
          <t>1-4</t>
        </is>
      </c>
      <c r="B99" s="26" t="n">
        <v>-0.06</v>
      </c>
      <c r="C99" s="26" t="n">
        <v>0.02</v>
      </c>
      <c r="D99" s="39">
        <f>$B$5*(1+('1_Assumptions'!$E$11+IF('1_Assumptions'!$B$39=1,0,$B99)))</f>
        <v/>
      </c>
      <c r="E99" s="39">
        <f>D99*(1-('1_Assumptions'!$E$17+IF('1_Assumptions'!$B$39=1,0,$C99)))</f>
        <v/>
      </c>
      <c r="F99" s="39">
        <f>D99-E99-D99*$B$11+D99*$B$12</f>
        <v/>
      </c>
      <c r="G99" s="39">
        <f>$B$6*$B$13</f>
        <v/>
      </c>
      <c r="H99" s="39">
        <f>D99*'1_Assumptions'!$E$23</f>
        <v/>
      </c>
      <c r="I99" s="39">
        <f>$B$6+H99-G99</f>
        <v/>
      </c>
      <c r="J99" s="39">
        <f>D99*$B$14</f>
        <v/>
      </c>
      <c r="K99" s="39">
        <f>$B$7-J99</f>
        <v/>
      </c>
      <c r="L99" s="39">
        <f>$B$8+D99*$B$16-$B$8/$B$18</f>
        <v/>
      </c>
      <c r="M99" s="39">
        <f>D99*'1_Assumptions'!$B$56/365+E99*'1_Assumptions'!$B$57/365+D99*'1_Assumptions'!$B$54-E99*'1_Assumptions'!$B$58/365-D99*'1_Assumptions'!$B$55</f>
        <v/>
      </c>
      <c r="N99" s="39">
        <f>F99*(1-$B$15)+G99+J99+IF($B$19=1,D99*'1_Assumptions'!$E$29,0)-H99-(M99-$B$10)</f>
        <v/>
      </c>
      <c r="O99" s="39">
        <f>D99*(1+('1_Assumptions'!$E$12+$B99))</f>
        <v/>
      </c>
      <c r="P99" s="39">
        <f>O99*(1-('1_Assumptions'!$E$18+$C99))</f>
        <v/>
      </c>
      <c r="Q99" s="39">
        <f>O99-P99-O99*$B$11+O99*$B$12</f>
        <v/>
      </c>
      <c r="R99" s="39">
        <f>I99*$B$13</f>
        <v/>
      </c>
      <c r="S99" s="39">
        <f>O99*'1_Assumptions'!$E$24</f>
        <v/>
      </c>
      <c r="T99" s="39">
        <f>I99+S99-R99</f>
        <v/>
      </c>
      <c r="U99" s="39">
        <f>O99*$B$14</f>
        <v/>
      </c>
      <c r="V99" s="39">
        <f>K99-U99</f>
        <v/>
      </c>
      <c r="W99" s="39">
        <f>L99+O99*$B$16-L99/$B$18</f>
        <v/>
      </c>
      <c r="X99" s="39">
        <f>O99*'1_Assumptions'!$B$56/365+P99*'1_Assumptions'!$B$57/365+O99*'1_Assumptions'!$B$54-P99*'1_Assumptions'!$B$58/365-O99*'1_Assumptions'!$B$55</f>
        <v/>
      </c>
      <c r="Y99" s="39">
        <f>Q99*(1-$B$15)+R99+U99+IF($B$19=1,O99*'1_Assumptions'!$E$30,0)-S99-(X99-M99)</f>
        <v/>
      </c>
      <c r="Z99" s="39">
        <f>O99*(1+('1_Assumptions'!$E$13+$B99))</f>
        <v/>
      </c>
      <c r="AA99" s="39">
        <f>Z99*(1-('1_Assumptions'!$E$19+$C99))</f>
        <v/>
      </c>
      <c r="AB99" s="39">
        <f>Z99-AA99-Z99*$B$11+Z99*$B$12</f>
        <v/>
      </c>
      <c r="AC99" s="39">
        <f>T99*$B$13</f>
        <v/>
      </c>
      <c r="AD99" s="39">
        <f>Z99*'1_Assumptions'!$E$25</f>
        <v/>
      </c>
      <c r="AE99" s="39">
        <f>T99+AD99-AC99</f>
        <v/>
      </c>
      <c r="AF99" s="39">
        <f>Z99*$B$14</f>
        <v/>
      </c>
      <c r="AG99" s="39">
        <f>V99-AF99</f>
        <v/>
      </c>
      <c r="AH99" s="39">
        <f>W99+Z99*$B$16-W99/$B$18</f>
        <v/>
      </c>
      <c r="AI99" s="39">
        <f>Z99*'1_Assumptions'!$B$56/365+AA99*'1_Assumptions'!$B$57/365+Z99*'1_Assumptions'!$B$54-AA99*'1_Assumptions'!$B$58/365-Z99*'1_Assumptions'!$B$55</f>
        <v/>
      </c>
      <c r="AJ99" s="39">
        <f>AB99*(1-$B$15)+AC99+AF99+IF($B$19=1,Z99*'1_Assumptions'!$E$31,0)-AD99-(AI99-X99)</f>
        <v/>
      </c>
      <c r="AK99" s="39">
        <f>Z99*(1+('1_Assumptions'!$E$14+$B99))</f>
        <v/>
      </c>
      <c r="AL99" s="39">
        <f>AK99*(1-('1_Assumptions'!$E$20+$C99))</f>
        <v/>
      </c>
      <c r="AM99" s="39">
        <f>AK99-AL99-AK99*$B$11+AK99*$B$12</f>
        <v/>
      </c>
      <c r="AN99" s="39">
        <f>AE99*$B$13</f>
        <v/>
      </c>
      <c r="AO99" s="39">
        <f>AK99*'1_Assumptions'!$E$26</f>
        <v/>
      </c>
      <c r="AP99" s="39">
        <f>AE99+AO99-AN99</f>
        <v/>
      </c>
      <c r="AQ99" s="39">
        <f>AK99*$B$14</f>
        <v/>
      </c>
      <c r="AR99" s="39">
        <f>AG99-AQ99</f>
        <v/>
      </c>
      <c r="AS99" s="39">
        <f>AH99+AK99*$B$16-AH99/$B$18</f>
        <v/>
      </c>
      <c r="AT99" s="39">
        <f>AK99*'1_Assumptions'!$B$56/365+AL99*'1_Assumptions'!$B$57/365+AK99*'1_Assumptions'!$B$54-AL99*'1_Assumptions'!$B$58/365-AK99*'1_Assumptions'!$B$55</f>
        <v/>
      </c>
      <c r="AU99" s="39">
        <f>AM99*(1-$B$15)+AN99+AQ99+IF($B$19=1,AK99*'1_Assumptions'!$E$32,0)-AO99-(AT99-AI99)</f>
        <v/>
      </c>
      <c r="AV99" s="39">
        <f>AK99*(1+('1_Assumptions'!$E$15+$B99))</f>
        <v/>
      </c>
      <c r="AW99" s="39">
        <f>AV99*(1-('1_Assumptions'!$E$21+$C99))</f>
        <v/>
      </c>
      <c r="AX99" s="39">
        <f>AV99-AW99-AV99*$B$11+AV99*$B$12</f>
        <v/>
      </c>
      <c r="AY99" s="39">
        <f>AP99*$B$13</f>
        <v/>
      </c>
      <c r="AZ99" s="39">
        <f>AV99*'1_Assumptions'!$E$27</f>
        <v/>
      </c>
      <c r="BA99" s="39">
        <f>AP99+AZ99-AY99</f>
        <v/>
      </c>
      <c r="BB99" s="39">
        <f>AV99*$B$14</f>
        <v/>
      </c>
      <c r="BC99" s="39">
        <f>AR99-BB99</f>
        <v/>
      </c>
      <c r="BD99" s="39">
        <f>AS99+AV99*$B$16-AS99/$B$18</f>
        <v/>
      </c>
      <c r="BE99" s="39">
        <f>AV99*'1_Assumptions'!$B$56/365+AW99*'1_Assumptions'!$B$57/365+AV99*'1_Assumptions'!$B$54-AW99*'1_Assumptions'!$B$58/365-AV99*'1_Assumptions'!$B$55</f>
        <v/>
      </c>
      <c r="BF99" s="39">
        <f>AX99*(1-$B$15)+AY99+BB99+IF($B$19=1,AV99*'1_Assumptions'!$E$33,0)-AZ99-(BE99-AT99)</f>
        <v/>
      </c>
      <c r="BG99" s="39">
        <f>N99/(1+$B$21)^(1-0.5*$B$23)+Y99/(1+$B$21)^(2-0.5*$B$23)+AJ99/(1+$B$21)^(3-0.5*$B$23)+AU99/(1+$B$21)^(4-0.5*$B$23)+BF99/(1+$B$21)^(5-0.5*$B$23)</f>
        <v/>
      </c>
      <c r="BH99" s="39">
        <f>BE99+BA99+BC99+$B$9+IF($B$17=1,BD99,0)</f>
        <v/>
      </c>
      <c r="BI99" s="19">
        <f>IF($B$32=2,$B$21+$B$33,IF(BH99=0,0,BL99/BH99))</f>
        <v/>
      </c>
      <c r="BJ99" s="19">
        <f>IF(BI99=0,9,$B$22/BI99)</f>
        <v/>
      </c>
      <c r="BK99" s="55">
        <f>IF(OR(BH99&lt;=0,BI99&lt;=$B$21,BJ99&gt;=1,BJ99&lt;0),1,0)</f>
        <v/>
      </c>
      <c r="BL99" s="39">
        <f>AX99*(1-$B$20)</f>
        <v/>
      </c>
      <c r="BM99" s="39">
        <f>IF(BK99=1,BL99,AX99*(1+$B$22)*(1-$B$20)*(1-BJ99))</f>
        <v/>
      </c>
      <c r="BN99" s="39">
        <f>IF(BK99=1,BL99/$B$21,BM99/($B$21-$B$22))</f>
        <v/>
      </c>
      <c r="BO99" s="39">
        <f>BN99/(1+$B$21)^(5-0.5*$B$23)</f>
        <v/>
      </c>
      <c r="BP99" s="39">
        <f>BG99+BO99</f>
        <v/>
      </c>
      <c r="BQ99" s="39">
        <f>BP99*(1+$B$21)^$B$24-N99*$B$24*(1+$B$21)^($B$24/2)</f>
        <v/>
      </c>
      <c r="BR99" s="39">
        <f>BQ99-$B$25+$B$26+$B$27</f>
        <v/>
      </c>
      <c r="BS99" s="39">
        <f>IF($B$28=1,$B$30,BR99*$B$29)</f>
        <v/>
      </c>
      <c r="BT99" s="39">
        <f>BR99-BS99</f>
        <v/>
      </c>
      <c r="BU99" s="58">
        <f>BT99/$B$31</f>
        <v/>
      </c>
    </row>
    <row r="100">
      <c r="A100" s="17" t="inlineStr">
        <is>
          <t>1-5</t>
        </is>
      </c>
      <c r="B100" s="26" t="n">
        <v>-0.06</v>
      </c>
      <c r="C100" s="26" t="n">
        <v>0.04</v>
      </c>
      <c r="D100" s="39">
        <f>$B$5*(1+('1_Assumptions'!$E$11+IF('1_Assumptions'!$B$39=1,0,$B100)))</f>
        <v/>
      </c>
      <c r="E100" s="39">
        <f>D100*(1-('1_Assumptions'!$E$17+IF('1_Assumptions'!$B$39=1,0,$C100)))</f>
        <v/>
      </c>
      <c r="F100" s="39">
        <f>D100-E100-D100*$B$11+D100*$B$12</f>
        <v/>
      </c>
      <c r="G100" s="39">
        <f>$B$6*$B$13</f>
        <v/>
      </c>
      <c r="H100" s="39">
        <f>D100*'1_Assumptions'!$E$23</f>
        <v/>
      </c>
      <c r="I100" s="39">
        <f>$B$6+H100-G100</f>
        <v/>
      </c>
      <c r="J100" s="39">
        <f>D100*$B$14</f>
        <v/>
      </c>
      <c r="K100" s="39">
        <f>$B$7-J100</f>
        <v/>
      </c>
      <c r="L100" s="39">
        <f>$B$8+D100*$B$16-$B$8/$B$18</f>
        <v/>
      </c>
      <c r="M100" s="39">
        <f>D100*'1_Assumptions'!$B$56/365+E100*'1_Assumptions'!$B$57/365+D100*'1_Assumptions'!$B$54-E100*'1_Assumptions'!$B$58/365-D100*'1_Assumptions'!$B$55</f>
        <v/>
      </c>
      <c r="N100" s="39">
        <f>F100*(1-$B$15)+G100+J100+IF($B$19=1,D100*'1_Assumptions'!$E$29,0)-H100-(M100-$B$10)</f>
        <v/>
      </c>
      <c r="O100" s="39">
        <f>D100*(1+('1_Assumptions'!$E$12+$B100))</f>
        <v/>
      </c>
      <c r="P100" s="39">
        <f>O100*(1-('1_Assumptions'!$E$18+$C100))</f>
        <v/>
      </c>
      <c r="Q100" s="39">
        <f>O100-P100-O100*$B$11+O100*$B$12</f>
        <v/>
      </c>
      <c r="R100" s="39">
        <f>I100*$B$13</f>
        <v/>
      </c>
      <c r="S100" s="39">
        <f>O100*'1_Assumptions'!$E$24</f>
        <v/>
      </c>
      <c r="T100" s="39">
        <f>I100+S100-R100</f>
        <v/>
      </c>
      <c r="U100" s="39">
        <f>O100*$B$14</f>
        <v/>
      </c>
      <c r="V100" s="39">
        <f>K100-U100</f>
        <v/>
      </c>
      <c r="W100" s="39">
        <f>L100+O100*$B$16-L100/$B$18</f>
        <v/>
      </c>
      <c r="X100" s="39">
        <f>O100*'1_Assumptions'!$B$56/365+P100*'1_Assumptions'!$B$57/365+O100*'1_Assumptions'!$B$54-P100*'1_Assumptions'!$B$58/365-O100*'1_Assumptions'!$B$55</f>
        <v/>
      </c>
      <c r="Y100" s="39">
        <f>Q100*(1-$B$15)+R100+U100+IF($B$19=1,O100*'1_Assumptions'!$E$30,0)-S100-(X100-M100)</f>
        <v/>
      </c>
      <c r="Z100" s="39">
        <f>O100*(1+('1_Assumptions'!$E$13+$B100))</f>
        <v/>
      </c>
      <c r="AA100" s="39">
        <f>Z100*(1-('1_Assumptions'!$E$19+$C100))</f>
        <v/>
      </c>
      <c r="AB100" s="39">
        <f>Z100-AA100-Z100*$B$11+Z100*$B$12</f>
        <v/>
      </c>
      <c r="AC100" s="39">
        <f>T100*$B$13</f>
        <v/>
      </c>
      <c r="AD100" s="39">
        <f>Z100*'1_Assumptions'!$E$25</f>
        <v/>
      </c>
      <c r="AE100" s="39">
        <f>T100+AD100-AC100</f>
        <v/>
      </c>
      <c r="AF100" s="39">
        <f>Z100*$B$14</f>
        <v/>
      </c>
      <c r="AG100" s="39">
        <f>V100-AF100</f>
        <v/>
      </c>
      <c r="AH100" s="39">
        <f>W100+Z100*$B$16-W100/$B$18</f>
        <v/>
      </c>
      <c r="AI100" s="39">
        <f>Z100*'1_Assumptions'!$B$56/365+AA100*'1_Assumptions'!$B$57/365+Z100*'1_Assumptions'!$B$54-AA100*'1_Assumptions'!$B$58/365-Z100*'1_Assumptions'!$B$55</f>
        <v/>
      </c>
      <c r="AJ100" s="39">
        <f>AB100*(1-$B$15)+AC100+AF100+IF($B$19=1,Z100*'1_Assumptions'!$E$31,0)-AD100-(AI100-X100)</f>
        <v/>
      </c>
      <c r="AK100" s="39">
        <f>Z100*(1+('1_Assumptions'!$E$14+$B100))</f>
        <v/>
      </c>
      <c r="AL100" s="39">
        <f>AK100*(1-('1_Assumptions'!$E$20+$C100))</f>
        <v/>
      </c>
      <c r="AM100" s="39">
        <f>AK100-AL100-AK100*$B$11+AK100*$B$12</f>
        <v/>
      </c>
      <c r="AN100" s="39">
        <f>AE100*$B$13</f>
        <v/>
      </c>
      <c r="AO100" s="39">
        <f>AK100*'1_Assumptions'!$E$26</f>
        <v/>
      </c>
      <c r="AP100" s="39">
        <f>AE100+AO100-AN100</f>
        <v/>
      </c>
      <c r="AQ100" s="39">
        <f>AK100*$B$14</f>
        <v/>
      </c>
      <c r="AR100" s="39">
        <f>AG100-AQ100</f>
        <v/>
      </c>
      <c r="AS100" s="39">
        <f>AH100+AK100*$B$16-AH100/$B$18</f>
        <v/>
      </c>
      <c r="AT100" s="39">
        <f>AK100*'1_Assumptions'!$B$56/365+AL100*'1_Assumptions'!$B$57/365+AK100*'1_Assumptions'!$B$54-AL100*'1_Assumptions'!$B$58/365-AK100*'1_Assumptions'!$B$55</f>
        <v/>
      </c>
      <c r="AU100" s="39">
        <f>AM100*(1-$B$15)+AN100+AQ100+IF($B$19=1,AK100*'1_Assumptions'!$E$32,0)-AO100-(AT100-AI100)</f>
        <v/>
      </c>
      <c r="AV100" s="39">
        <f>AK100*(1+('1_Assumptions'!$E$15+$B100))</f>
        <v/>
      </c>
      <c r="AW100" s="39">
        <f>AV100*(1-('1_Assumptions'!$E$21+$C100))</f>
        <v/>
      </c>
      <c r="AX100" s="39">
        <f>AV100-AW100-AV100*$B$11+AV100*$B$12</f>
        <v/>
      </c>
      <c r="AY100" s="39">
        <f>AP100*$B$13</f>
        <v/>
      </c>
      <c r="AZ100" s="39">
        <f>AV100*'1_Assumptions'!$E$27</f>
        <v/>
      </c>
      <c r="BA100" s="39">
        <f>AP100+AZ100-AY100</f>
        <v/>
      </c>
      <c r="BB100" s="39">
        <f>AV100*$B$14</f>
        <v/>
      </c>
      <c r="BC100" s="39">
        <f>AR100-BB100</f>
        <v/>
      </c>
      <c r="BD100" s="39">
        <f>AS100+AV100*$B$16-AS100/$B$18</f>
        <v/>
      </c>
      <c r="BE100" s="39">
        <f>AV100*'1_Assumptions'!$B$56/365+AW100*'1_Assumptions'!$B$57/365+AV100*'1_Assumptions'!$B$54-AW100*'1_Assumptions'!$B$58/365-AV100*'1_Assumptions'!$B$55</f>
        <v/>
      </c>
      <c r="BF100" s="39">
        <f>AX100*(1-$B$15)+AY100+BB100+IF($B$19=1,AV100*'1_Assumptions'!$E$33,0)-AZ100-(BE100-AT100)</f>
        <v/>
      </c>
      <c r="BG100" s="39">
        <f>N100/(1+$B$21)^(1-0.5*$B$23)+Y100/(1+$B$21)^(2-0.5*$B$23)+AJ100/(1+$B$21)^(3-0.5*$B$23)+AU100/(1+$B$21)^(4-0.5*$B$23)+BF100/(1+$B$21)^(5-0.5*$B$23)</f>
        <v/>
      </c>
      <c r="BH100" s="39">
        <f>BE100+BA100+BC100+$B$9+IF($B$17=1,BD100,0)</f>
        <v/>
      </c>
      <c r="BI100" s="19">
        <f>IF($B$32=2,$B$21+$B$33,IF(BH100=0,0,BL100/BH100))</f>
        <v/>
      </c>
      <c r="BJ100" s="19">
        <f>IF(BI100=0,9,$B$22/BI100)</f>
        <v/>
      </c>
      <c r="BK100" s="55">
        <f>IF(OR(BH100&lt;=0,BI100&lt;=$B$21,BJ100&gt;=1,BJ100&lt;0),1,0)</f>
        <v/>
      </c>
      <c r="BL100" s="39">
        <f>AX100*(1-$B$20)</f>
        <v/>
      </c>
      <c r="BM100" s="39">
        <f>IF(BK100=1,BL100,AX100*(1+$B$22)*(1-$B$20)*(1-BJ100))</f>
        <v/>
      </c>
      <c r="BN100" s="39">
        <f>IF(BK100=1,BL100/$B$21,BM100/($B$21-$B$22))</f>
        <v/>
      </c>
      <c r="BO100" s="39">
        <f>BN100/(1+$B$21)^(5-0.5*$B$23)</f>
        <v/>
      </c>
      <c r="BP100" s="39">
        <f>BG100+BO100</f>
        <v/>
      </c>
      <c r="BQ100" s="39">
        <f>BP100*(1+$B$21)^$B$24-N100*$B$24*(1+$B$21)^($B$24/2)</f>
        <v/>
      </c>
      <c r="BR100" s="39">
        <f>BQ100-$B$25+$B$26+$B$27</f>
        <v/>
      </c>
      <c r="BS100" s="39">
        <f>IF($B$28=1,$B$30,BR100*$B$29)</f>
        <v/>
      </c>
      <c r="BT100" s="39">
        <f>BR100-BS100</f>
        <v/>
      </c>
      <c r="BU100" s="58">
        <f>BT100/$B$31</f>
        <v/>
      </c>
    </row>
    <row r="101">
      <c r="A101" s="17" t="inlineStr">
        <is>
          <t>2-1</t>
        </is>
      </c>
      <c r="B101" s="26" t="n">
        <v>-0.03</v>
      </c>
      <c r="C101" s="26" t="n">
        <v>-0.04</v>
      </c>
      <c r="D101" s="39">
        <f>$B$5*(1+('1_Assumptions'!$E$11+IF('1_Assumptions'!$B$39=1,0,$B101)))</f>
        <v/>
      </c>
      <c r="E101" s="39">
        <f>D101*(1-('1_Assumptions'!$E$17+IF('1_Assumptions'!$B$39=1,0,$C101)))</f>
        <v/>
      </c>
      <c r="F101" s="39">
        <f>D101-E101-D101*$B$11+D101*$B$12</f>
        <v/>
      </c>
      <c r="G101" s="39">
        <f>$B$6*$B$13</f>
        <v/>
      </c>
      <c r="H101" s="39">
        <f>D101*'1_Assumptions'!$E$23</f>
        <v/>
      </c>
      <c r="I101" s="39">
        <f>$B$6+H101-G101</f>
        <v/>
      </c>
      <c r="J101" s="39">
        <f>D101*$B$14</f>
        <v/>
      </c>
      <c r="K101" s="39">
        <f>$B$7-J101</f>
        <v/>
      </c>
      <c r="L101" s="39">
        <f>$B$8+D101*$B$16-$B$8/$B$18</f>
        <v/>
      </c>
      <c r="M101" s="39">
        <f>D101*'1_Assumptions'!$B$56/365+E101*'1_Assumptions'!$B$57/365+D101*'1_Assumptions'!$B$54-E101*'1_Assumptions'!$B$58/365-D101*'1_Assumptions'!$B$55</f>
        <v/>
      </c>
      <c r="N101" s="39">
        <f>F101*(1-$B$15)+G101+J101+IF($B$19=1,D101*'1_Assumptions'!$E$29,0)-H101-(M101-$B$10)</f>
        <v/>
      </c>
      <c r="O101" s="39">
        <f>D101*(1+('1_Assumptions'!$E$12+$B101))</f>
        <v/>
      </c>
      <c r="P101" s="39">
        <f>O101*(1-('1_Assumptions'!$E$18+$C101))</f>
        <v/>
      </c>
      <c r="Q101" s="39">
        <f>O101-P101-O101*$B$11+O101*$B$12</f>
        <v/>
      </c>
      <c r="R101" s="39">
        <f>I101*$B$13</f>
        <v/>
      </c>
      <c r="S101" s="39">
        <f>O101*'1_Assumptions'!$E$24</f>
        <v/>
      </c>
      <c r="T101" s="39">
        <f>I101+S101-R101</f>
        <v/>
      </c>
      <c r="U101" s="39">
        <f>O101*$B$14</f>
        <v/>
      </c>
      <c r="V101" s="39">
        <f>K101-U101</f>
        <v/>
      </c>
      <c r="W101" s="39">
        <f>L101+O101*$B$16-L101/$B$18</f>
        <v/>
      </c>
      <c r="X101" s="39">
        <f>O101*'1_Assumptions'!$B$56/365+P101*'1_Assumptions'!$B$57/365+O101*'1_Assumptions'!$B$54-P101*'1_Assumptions'!$B$58/365-O101*'1_Assumptions'!$B$55</f>
        <v/>
      </c>
      <c r="Y101" s="39">
        <f>Q101*(1-$B$15)+R101+U101+IF($B$19=1,O101*'1_Assumptions'!$E$30,0)-S101-(X101-M101)</f>
        <v/>
      </c>
      <c r="Z101" s="39">
        <f>O101*(1+('1_Assumptions'!$E$13+$B101))</f>
        <v/>
      </c>
      <c r="AA101" s="39">
        <f>Z101*(1-('1_Assumptions'!$E$19+$C101))</f>
        <v/>
      </c>
      <c r="AB101" s="39">
        <f>Z101-AA101-Z101*$B$11+Z101*$B$12</f>
        <v/>
      </c>
      <c r="AC101" s="39">
        <f>T101*$B$13</f>
        <v/>
      </c>
      <c r="AD101" s="39">
        <f>Z101*'1_Assumptions'!$E$25</f>
        <v/>
      </c>
      <c r="AE101" s="39">
        <f>T101+AD101-AC101</f>
        <v/>
      </c>
      <c r="AF101" s="39">
        <f>Z101*$B$14</f>
        <v/>
      </c>
      <c r="AG101" s="39">
        <f>V101-AF101</f>
        <v/>
      </c>
      <c r="AH101" s="39">
        <f>W101+Z101*$B$16-W101/$B$18</f>
        <v/>
      </c>
      <c r="AI101" s="39">
        <f>Z101*'1_Assumptions'!$B$56/365+AA101*'1_Assumptions'!$B$57/365+Z101*'1_Assumptions'!$B$54-AA101*'1_Assumptions'!$B$58/365-Z101*'1_Assumptions'!$B$55</f>
        <v/>
      </c>
      <c r="AJ101" s="39">
        <f>AB101*(1-$B$15)+AC101+AF101+IF($B$19=1,Z101*'1_Assumptions'!$E$31,0)-AD101-(AI101-X101)</f>
        <v/>
      </c>
      <c r="AK101" s="39">
        <f>Z101*(1+('1_Assumptions'!$E$14+$B101))</f>
        <v/>
      </c>
      <c r="AL101" s="39">
        <f>AK101*(1-('1_Assumptions'!$E$20+$C101))</f>
        <v/>
      </c>
      <c r="AM101" s="39">
        <f>AK101-AL101-AK101*$B$11+AK101*$B$12</f>
        <v/>
      </c>
      <c r="AN101" s="39">
        <f>AE101*$B$13</f>
        <v/>
      </c>
      <c r="AO101" s="39">
        <f>AK101*'1_Assumptions'!$E$26</f>
        <v/>
      </c>
      <c r="AP101" s="39">
        <f>AE101+AO101-AN101</f>
        <v/>
      </c>
      <c r="AQ101" s="39">
        <f>AK101*$B$14</f>
        <v/>
      </c>
      <c r="AR101" s="39">
        <f>AG101-AQ101</f>
        <v/>
      </c>
      <c r="AS101" s="39">
        <f>AH101+AK101*$B$16-AH101/$B$18</f>
        <v/>
      </c>
      <c r="AT101" s="39">
        <f>AK101*'1_Assumptions'!$B$56/365+AL101*'1_Assumptions'!$B$57/365+AK101*'1_Assumptions'!$B$54-AL101*'1_Assumptions'!$B$58/365-AK101*'1_Assumptions'!$B$55</f>
        <v/>
      </c>
      <c r="AU101" s="39">
        <f>AM101*(1-$B$15)+AN101+AQ101+IF($B$19=1,AK101*'1_Assumptions'!$E$32,0)-AO101-(AT101-AI101)</f>
        <v/>
      </c>
      <c r="AV101" s="39">
        <f>AK101*(1+('1_Assumptions'!$E$15+$B101))</f>
        <v/>
      </c>
      <c r="AW101" s="39">
        <f>AV101*(1-('1_Assumptions'!$E$21+$C101))</f>
        <v/>
      </c>
      <c r="AX101" s="39">
        <f>AV101-AW101-AV101*$B$11+AV101*$B$12</f>
        <v/>
      </c>
      <c r="AY101" s="39">
        <f>AP101*$B$13</f>
        <v/>
      </c>
      <c r="AZ101" s="39">
        <f>AV101*'1_Assumptions'!$E$27</f>
        <v/>
      </c>
      <c r="BA101" s="39">
        <f>AP101+AZ101-AY101</f>
        <v/>
      </c>
      <c r="BB101" s="39">
        <f>AV101*$B$14</f>
        <v/>
      </c>
      <c r="BC101" s="39">
        <f>AR101-BB101</f>
        <v/>
      </c>
      <c r="BD101" s="39">
        <f>AS101+AV101*$B$16-AS101/$B$18</f>
        <v/>
      </c>
      <c r="BE101" s="39">
        <f>AV101*'1_Assumptions'!$B$56/365+AW101*'1_Assumptions'!$B$57/365+AV101*'1_Assumptions'!$B$54-AW101*'1_Assumptions'!$B$58/365-AV101*'1_Assumptions'!$B$55</f>
        <v/>
      </c>
      <c r="BF101" s="39">
        <f>AX101*(1-$B$15)+AY101+BB101+IF($B$19=1,AV101*'1_Assumptions'!$E$33,0)-AZ101-(BE101-AT101)</f>
        <v/>
      </c>
      <c r="BG101" s="39">
        <f>N101/(1+$B$21)^(1-0.5*$B$23)+Y101/(1+$B$21)^(2-0.5*$B$23)+AJ101/(1+$B$21)^(3-0.5*$B$23)+AU101/(1+$B$21)^(4-0.5*$B$23)+BF101/(1+$B$21)^(5-0.5*$B$23)</f>
        <v/>
      </c>
      <c r="BH101" s="39">
        <f>BE101+BA101+BC101+$B$9+IF($B$17=1,BD101,0)</f>
        <v/>
      </c>
      <c r="BI101" s="19">
        <f>IF($B$32=2,$B$21+$B$33,IF(BH101=0,0,BL101/BH101))</f>
        <v/>
      </c>
      <c r="BJ101" s="19">
        <f>IF(BI101=0,9,$B$22/BI101)</f>
        <v/>
      </c>
      <c r="BK101" s="55">
        <f>IF(OR(BH101&lt;=0,BI101&lt;=$B$21,BJ101&gt;=1,BJ101&lt;0),1,0)</f>
        <v/>
      </c>
      <c r="BL101" s="39">
        <f>AX101*(1-$B$20)</f>
        <v/>
      </c>
      <c r="BM101" s="39">
        <f>IF(BK101=1,BL101,AX101*(1+$B$22)*(1-$B$20)*(1-BJ101))</f>
        <v/>
      </c>
      <c r="BN101" s="39">
        <f>IF(BK101=1,BL101/$B$21,BM101/($B$21-$B$22))</f>
        <v/>
      </c>
      <c r="BO101" s="39">
        <f>BN101/(1+$B$21)^(5-0.5*$B$23)</f>
        <v/>
      </c>
      <c r="BP101" s="39">
        <f>BG101+BO101</f>
        <v/>
      </c>
      <c r="BQ101" s="39">
        <f>BP101*(1+$B$21)^$B$24-N101*$B$24*(1+$B$21)^($B$24/2)</f>
        <v/>
      </c>
      <c r="BR101" s="39">
        <f>BQ101-$B$25+$B$26+$B$27</f>
        <v/>
      </c>
      <c r="BS101" s="39">
        <f>IF($B$28=1,$B$30,BR101*$B$29)</f>
        <v/>
      </c>
      <c r="BT101" s="39">
        <f>BR101-BS101</f>
        <v/>
      </c>
      <c r="BU101" s="58">
        <f>BT101/$B$31</f>
        <v/>
      </c>
    </row>
    <row r="102">
      <c r="A102" s="17" t="inlineStr">
        <is>
          <t>2-2</t>
        </is>
      </c>
      <c r="B102" s="26" t="n">
        <v>-0.03</v>
      </c>
      <c r="C102" s="26" t="n">
        <v>-0.02</v>
      </c>
      <c r="D102" s="39">
        <f>$B$5*(1+('1_Assumptions'!$E$11+IF('1_Assumptions'!$B$39=1,0,$B102)))</f>
        <v/>
      </c>
      <c r="E102" s="39">
        <f>D102*(1-('1_Assumptions'!$E$17+IF('1_Assumptions'!$B$39=1,0,$C102)))</f>
        <v/>
      </c>
      <c r="F102" s="39">
        <f>D102-E102-D102*$B$11+D102*$B$12</f>
        <v/>
      </c>
      <c r="G102" s="39">
        <f>$B$6*$B$13</f>
        <v/>
      </c>
      <c r="H102" s="39">
        <f>D102*'1_Assumptions'!$E$23</f>
        <v/>
      </c>
      <c r="I102" s="39">
        <f>$B$6+H102-G102</f>
        <v/>
      </c>
      <c r="J102" s="39">
        <f>D102*$B$14</f>
        <v/>
      </c>
      <c r="K102" s="39">
        <f>$B$7-J102</f>
        <v/>
      </c>
      <c r="L102" s="39">
        <f>$B$8+D102*$B$16-$B$8/$B$18</f>
        <v/>
      </c>
      <c r="M102" s="39">
        <f>D102*'1_Assumptions'!$B$56/365+E102*'1_Assumptions'!$B$57/365+D102*'1_Assumptions'!$B$54-E102*'1_Assumptions'!$B$58/365-D102*'1_Assumptions'!$B$55</f>
        <v/>
      </c>
      <c r="N102" s="39">
        <f>F102*(1-$B$15)+G102+J102+IF($B$19=1,D102*'1_Assumptions'!$E$29,0)-H102-(M102-$B$10)</f>
        <v/>
      </c>
      <c r="O102" s="39">
        <f>D102*(1+('1_Assumptions'!$E$12+$B102))</f>
        <v/>
      </c>
      <c r="P102" s="39">
        <f>O102*(1-('1_Assumptions'!$E$18+$C102))</f>
        <v/>
      </c>
      <c r="Q102" s="39">
        <f>O102-P102-O102*$B$11+O102*$B$12</f>
        <v/>
      </c>
      <c r="R102" s="39">
        <f>I102*$B$13</f>
        <v/>
      </c>
      <c r="S102" s="39">
        <f>O102*'1_Assumptions'!$E$24</f>
        <v/>
      </c>
      <c r="T102" s="39">
        <f>I102+S102-R102</f>
        <v/>
      </c>
      <c r="U102" s="39">
        <f>O102*$B$14</f>
        <v/>
      </c>
      <c r="V102" s="39">
        <f>K102-U102</f>
        <v/>
      </c>
      <c r="W102" s="39">
        <f>L102+O102*$B$16-L102/$B$18</f>
        <v/>
      </c>
      <c r="X102" s="39">
        <f>O102*'1_Assumptions'!$B$56/365+P102*'1_Assumptions'!$B$57/365+O102*'1_Assumptions'!$B$54-P102*'1_Assumptions'!$B$58/365-O102*'1_Assumptions'!$B$55</f>
        <v/>
      </c>
      <c r="Y102" s="39">
        <f>Q102*(1-$B$15)+R102+U102+IF($B$19=1,O102*'1_Assumptions'!$E$30,0)-S102-(X102-M102)</f>
        <v/>
      </c>
      <c r="Z102" s="39">
        <f>O102*(1+('1_Assumptions'!$E$13+$B102))</f>
        <v/>
      </c>
      <c r="AA102" s="39">
        <f>Z102*(1-('1_Assumptions'!$E$19+$C102))</f>
        <v/>
      </c>
      <c r="AB102" s="39">
        <f>Z102-AA102-Z102*$B$11+Z102*$B$12</f>
        <v/>
      </c>
      <c r="AC102" s="39">
        <f>T102*$B$13</f>
        <v/>
      </c>
      <c r="AD102" s="39">
        <f>Z102*'1_Assumptions'!$E$25</f>
        <v/>
      </c>
      <c r="AE102" s="39">
        <f>T102+AD102-AC102</f>
        <v/>
      </c>
      <c r="AF102" s="39">
        <f>Z102*$B$14</f>
        <v/>
      </c>
      <c r="AG102" s="39">
        <f>V102-AF102</f>
        <v/>
      </c>
      <c r="AH102" s="39">
        <f>W102+Z102*$B$16-W102/$B$18</f>
        <v/>
      </c>
      <c r="AI102" s="39">
        <f>Z102*'1_Assumptions'!$B$56/365+AA102*'1_Assumptions'!$B$57/365+Z102*'1_Assumptions'!$B$54-AA102*'1_Assumptions'!$B$58/365-Z102*'1_Assumptions'!$B$55</f>
        <v/>
      </c>
      <c r="AJ102" s="39">
        <f>AB102*(1-$B$15)+AC102+AF102+IF($B$19=1,Z102*'1_Assumptions'!$E$31,0)-AD102-(AI102-X102)</f>
        <v/>
      </c>
      <c r="AK102" s="39">
        <f>Z102*(1+('1_Assumptions'!$E$14+$B102))</f>
        <v/>
      </c>
      <c r="AL102" s="39">
        <f>AK102*(1-('1_Assumptions'!$E$20+$C102))</f>
        <v/>
      </c>
      <c r="AM102" s="39">
        <f>AK102-AL102-AK102*$B$11+AK102*$B$12</f>
        <v/>
      </c>
      <c r="AN102" s="39">
        <f>AE102*$B$13</f>
        <v/>
      </c>
      <c r="AO102" s="39">
        <f>AK102*'1_Assumptions'!$E$26</f>
        <v/>
      </c>
      <c r="AP102" s="39">
        <f>AE102+AO102-AN102</f>
        <v/>
      </c>
      <c r="AQ102" s="39">
        <f>AK102*$B$14</f>
        <v/>
      </c>
      <c r="AR102" s="39">
        <f>AG102-AQ102</f>
        <v/>
      </c>
      <c r="AS102" s="39">
        <f>AH102+AK102*$B$16-AH102/$B$18</f>
        <v/>
      </c>
      <c r="AT102" s="39">
        <f>AK102*'1_Assumptions'!$B$56/365+AL102*'1_Assumptions'!$B$57/365+AK102*'1_Assumptions'!$B$54-AL102*'1_Assumptions'!$B$58/365-AK102*'1_Assumptions'!$B$55</f>
        <v/>
      </c>
      <c r="AU102" s="39">
        <f>AM102*(1-$B$15)+AN102+AQ102+IF($B$19=1,AK102*'1_Assumptions'!$E$32,0)-AO102-(AT102-AI102)</f>
        <v/>
      </c>
      <c r="AV102" s="39">
        <f>AK102*(1+('1_Assumptions'!$E$15+$B102))</f>
        <v/>
      </c>
      <c r="AW102" s="39">
        <f>AV102*(1-('1_Assumptions'!$E$21+$C102))</f>
        <v/>
      </c>
      <c r="AX102" s="39">
        <f>AV102-AW102-AV102*$B$11+AV102*$B$12</f>
        <v/>
      </c>
      <c r="AY102" s="39">
        <f>AP102*$B$13</f>
        <v/>
      </c>
      <c r="AZ102" s="39">
        <f>AV102*'1_Assumptions'!$E$27</f>
        <v/>
      </c>
      <c r="BA102" s="39">
        <f>AP102+AZ102-AY102</f>
        <v/>
      </c>
      <c r="BB102" s="39">
        <f>AV102*$B$14</f>
        <v/>
      </c>
      <c r="BC102" s="39">
        <f>AR102-BB102</f>
        <v/>
      </c>
      <c r="BD102" s="39">
        <f>AS102+AV102*$B$16-AS102/$B$18</f>
        <v/>
      </c>
      <c r="BE102" s="39">
        <f>AV102*'1_Assumptions'!$B$56/365+AW102*'1_Assumptions'!$B$57/365+AV102*'1_Assumptions'!$B$54-AW102*'1_Assumptions'!$B$58/365-AV102*'1_Assumptions'!$B$55</f>
        <v/>
      </c>
      <c r="BF102" s="39">
        <f>AX102*(1-$B$15)+AY102+BB102+IF($B$19=1,AV102*'1_Assumptions'!$E$33,0)-AZ102-(BE102-AT102)</f>
        <v/>
      </c>
      <c r="BG102" s="39">
        <f>N102/(1+$B$21)^(1-0.5*$B$23)+Y102/(1+$B$21)^(2-0.5*$B$23)+AJ102/(1+$B$21)^(3-0.5*$B$23)+AU102/(1+$B$21)^(4-0.5*$B$23)+BF102/(1+$B$21)^(5-0.5*$B$23)</f>
        <v/>
      </c>
      <c r="BH102" s="39">
        <f>BE102+BA102+BC102+$B$9+IF($B$17=1,BD102,0)</f>
        <v/>
      </c>
      <c r="BI102" s="19">
        <f>IF($B$32=2,$B$21+$B$33,IF(BH102=0,0,BL102/BH102))</f>
        <v/>
      </c>
      <c r="BJ102" s="19">
        <f>IF(BI102=0,9,$B$22/BI102)</f>
        <v/>
      </c>
      <c r="BK102" s="55">
        <f>IF(OR(BH102&lt;=0,BI102&lt;=$B$21,BJ102&gt;=1,BJ102&lt;0),1,0)</f>
        <v/>
      </c>
      <c r="BL102" s="39">
        <f>AX102*(1-$B$20)</f>
        <v/>
      </c>
      <c r="BM102" s="39">
        <f>IF(BK102=1,BL102,AX102*(1+$B$22)*(1-$B$20)*(1-BJ102))</f>
        <v/>
      </c>
      <c r="BN102" s="39">
        <f>IF(BK102=1,BL102/$B$21,BM102/($B$21-$B$22))</f>
        <v/>
      </c>
      <c r="BO102" s="39">
        <f>BN102/(1+$B$21)^(5-0.5*$B$23)</f>
        <v/>
      </c>
      <c r="BP102" s="39">
        <f>BG102+BO102</f>
        <v/>
      </c>
      <c r="BQ102" s="39">
        <f>BP102*(1+$B$21)^$B$24-N102*$B$24*(1+$B$21)^($B$24/2)</f>
        <v/>
      </c>
      <c r="BR102" s="39">
        <f>BQ102-$B$25+$B$26+$B$27</f>
        <v/>
      </c>
      <c r="BS102" s="39">
        <f>IF($B$28=1,$B$30,BR102*$B$29)</f>
        <v/>
      </c>
      <c r="BT102" s="39">
        <f>BR102-BS102</f>
        <v/>
      </c>
      <c r="BU102" s="58">
        <f>BT102/$B$31</f>
        <v/>
      </c>
    </row>
    <row r="103">
      <c r="A103" s="17" t="inlineStr">
        <is>
          <t>2-3</t>
        </is>
      </c>
      <c r="B103" s="26" t="n">
        <v>-0.03</v>
      </c>
      <c r="C103" s="26" t="n">
        <v>0</v>
      </c>
      <c r="D103" s="39">
        <f>$B$5*(1+('1_Assumptions'!$E$11+IF('1_Assumptions'!$B$39=1,0,$B103)))</f>
        <v/>
      </c>
      <c r="E103" s="39">
        <f>D103*(1-('1_Assumptions'!$E$17+IF('1_Assumptions'!$B$39=1,0,$C103)))</f>
        <v/>
      </c>
      <c r="F103" s="39">
        <f>D103-E103-D103*$B$11+D103*$B$12</f>
        <v/>
      </c>
      <c r="G103" s="39">
        <f>$B$6*$B$13</f>
        <v/>
      </c>
      <c r="H103" s="39">
        <f>D103*'1_Assumptions'!$E$23</f>
        <v/>
      </c>
      <c r="I103" s="39">
        <f>$B$6+H103-G103</f>
        <v/>
      </c>
      <c r="J103" s="39">
        <f>D103*$B$14</f>
        <v/>
      </c>
      <c r="K103" s="39">
        <f>$B$7-J103</f>
        <v/>
      </c>
      <c r="L103" s="39">
        <f>$B$8+D103*$B$16-$B$8/$B$18</f>
        <v/>
      </c>
      <c r="M103" s="39">
        <f>D103*'1_Assumptions'!$B$56/365+E103*'1_Assumptions'!$B$57/365+D103*'1_Assumptions'!$B$54-E103*'1_Assumptions'!$B$58/365-D103*'1_Assumptions'!$B$55</f>
        <v/>
      </c>
      <c r="N103" s="39">
        <f>F103*(1-$B$15)+G103+J103+IF($B$19=1,D103*'1_Assumptions'!$E$29,0)-H103-(M103-$B$10)</f>
        <v/>
      </c>
      <c r="O103" s="39">
        <f>D103*(1+('1_Assumptions'!$E$12+$B103))</f>
        <v/>
      </c>
      <c r="P103" s="39">
        <f>O103*(1-('1_Assumptions'!$E$18+$C103))</f>
        <v/>
      </c>
      <c r="Q103" s="39">
        <f>O103-P103-O103*$B$11+O103*$B$12</f>
        <v/>
      </c>
      <c r="R103" s="39">
        <f>I103*$B$13</f>
        <v/>
      </c>
      <c r="S103" s="39">
        <f>O103*'1_Assumptions'!$E$24</f>
        <v/>
      </c>
      <c r="T103" s="39">
        <f>I103+S103-R103</f>
        <v/>
      </c>
      <c r="U103" s="39">
        <f>O103*$B$14</f>
        <v/>
      </c>
      <c r="V103" s="39">
        <f>K103-U103</f>
        <v/>
      </c>
      <c r="W103" s="39">
        <f>L103+O103*$B$16-L103/$B$18</f>
        <v/>
      </c>
      <c r="X103" s="39">
        <f>O103*'1_Assumptions'!$B$56/365+P103*'1_Assumptions'!$B$57/365+O103*'1_Assumptions'!$B$54-P103*'1_Assumptions'!$B$58/365-O103*'1_Assumptions'!$B$55</f>
        <v/>
      </c>
      <c r="Y103" s="39">
        <f>Q103*(1-$B$15)+R103+U103+IF($B$19=1,O103*'1_Assumptions'!$E$30,0)-S103-(X103-M103)</f>
        <v/>
      </c>
      <c r="Z103" s="39">
        <f>O103*(1+('1_Assumptions'!$E$13+$B103))</f>
        <v/>
      </c>
      <c r="AA103" s="39">
        <f>Z103*(1-('1_Assumptions'!$E$19+$C103))</f>
        <v/>
      </c>
      <c r="AB103" s="39">
        <f>Z103-AA103-Z103*$B$11+Z103*$B$12</f>
        <v/>
      </c>
      <c r="AC103" s="39">
        <f>T103*$B$13</f>
        <v/>
      </c>
      <c r="AD103" s="39">
        <f>Z103*'1_Assumptions'!$E$25</f>
        <v/>
      </c>
      <c r="AE103" s="39">
        <f>T103+AD103-AC103</f>
        <v/>
      </c>
      <c r="AF103" s="39">
        <f>Z103*$B$14</f>
        <v/>
      </c>
      <c r="AG103" s="39">
        <f>V103-AF103</f>
        <v/>
      </c>
      <c r="AH103" s="39">
        <f>W103+Z103*$B$16-W103/$B$18</f>
        <v/>
      </c>
      <c r="AI103" s="39">
        <f>Z103*'1_Assumptions'!$B$56/365+AA103*'1_Assumptions'!$B$57/365+Z103*'1_Assumptions'!$B$54-AA103*'1_Assumptions'!$B$58/365-Z103*'1_Assumptions'!$B$55</f>
        <v/>
      </c>
      <c r="AJ103" s="39">
        <f>AB103*(1-$B$15)+AC103+AF103+IF($B$19=1,Z103*'1_Assumptions'!$E$31,0)-AD103-(AI103-X103)</f>
        <v/>
      </c>
      <c r="AK103" s="39">
        <f>Z103*(1+('1_Assumptions'!$E$14+$B103))</f>
        <v/>
      </c>
      <c r="AL103" s="39">
        <f>AK103*(1-('1_Assumptions'!$E$20+$C103))</f>
        <v/>
      </c>
      <c r="AM103" s="39">
        <f>AK103-AL103-AK103*$B$11+AK103*$B$12</f>
        <v/>
      </c>
      <c r="AN103" s="39">
        <f>AE103*$B$13</f>
        <v/>
      </c>
      <c r="AO103" s="39">
        <f>AK103*'1_Assumptions'!$E$26</f>
        <v/>
      </c>
      <c r="AP103" s="39">
        <f>AE103+AO103-AN103</f>
        <v/>
      </c>
      <c r="AQ103" s="39">
        <f>AK103*$B$14</f>
        <v/>
      </c>
      <c r="AR103" s="39">
        <f>AG103-AQ103</f>
        <v/>
      </c>
      <c r="AS103" s="39">
        <f>AH103+AK103*$B$16-AH103/$B$18</f>
        <v/>
      </c>
      <c r="AT103" s="39">
        <f>AK103*'1_Assumptions'!$B$56/365+AL103*'1_Assumptions'!$B$57/365+AK103*'1_Assumptions'!$B$54-AL103*'1_Assumptions'!$B$58/365-AK103*'1_Assumptions'!$B$55</f>
        <v/>
      </c>
      <c r="AU103" s="39">
        <f>AM103*(1-$B$15)+AN103+AQ103+IF($B$19=1,AK103*'1_Assumptions'!$E$32,0)-AO103-(AT103-AI103)</f>
        <v/>
      </c>
      <c r="AV103" s="39">
        <f>AK103*(1+('1_Assumptions'!$E$15+$B103))</f>
        <v/>
      </c>
      <c r="AW103" s="39">
        <f>AV103*(1-('1_Assumptions'!$E$21+$C103))</f>
        <v/>
      </c>
      <c r="AX103" s="39">
        <f>AV103-AW103-AV103*$B$11+AV103*$B$12</f>
        <v/>
      </c>
      <c r="AY103" s="39">
        <f>AP103*$B$13</f>
        <v/>
      </c>
      <c r="AZ103" s="39">
        <f>AV103*'1_Assumptions'!$E$27</f>
        <v/>
      </c>
      <c r="BA103" s="39">
        <f>AP103+AZ103-AY103</f>
        <v/>
      </c>
      <c r="BB103" s="39">
        <f>AV103*$B$14</f>
        <v/>
      </c>
      <c r="BC103" s="39">
        <f>AR103-BB103</f>
        <v/>
      </c>
      <c r="BD103" s="39">
        <f>AS103+AV103*$B$16-AS103/$B$18</f>
        <v/>
      </c>
      <c r="BE103" s="39">
        <f>AV103*'1_Assumptions'!$B$56/365+AW103*'1_Assumptions'!$B$57/365+AV103*'1_Assumptions'!$B$54-AW103*'1_Assumptions'!$B$58/365-AV103*'1_Assumptions'!$B$55</f>
        <v/>
      </c>
      <c r="BF103" s="39">
        <f>AX103*(1-$B$15)+AY103+BB103+IF($B$19=1,AV103*'1_Assumptions'!$E$33,0)-AZ103-(BE103-AT103)</f>
        <v/>
      </c>
      <c r="BG103" s="39">
        <f>N103/(1+$B$21)^(1-0.5*$B$23)+Y103/(1+$B$21)^(2-0.5*$B$23)+AJ103/(1+$B$21)^(3-0.5*$B$23)+AU103/(1+$B$21)^(4-0.5*$B$23)+BF103/(1+$B$21)^(5-0.5*$B$23)</f>
        <v/>
      </c>
      <c r="BH103" s="39">
        <f>BE103+BA103+BC103+$B$9+IF($B$17=1,BD103,0)</f>
        <v/>
      </c>
      <c r="BI103" s="19">
        <f>IF($B$32=2,$B$21+$B$33,IF(BH103=0,0,BL103/BH103))</f>
        <v/>
      </c>
      <c r="BJ103" s="19">
        <f>IF(BI103=0,9,$B$22/BI103)</f>
        <v/>
      </c>
      <c r="BK103" s="55">
        <f>IF(OR(BH103&lt;=0,BI103&lt;=$B$21,BJ103&gt;=1,BJ103&lt;0),1,0)</f>
        <v/>
      </c>
      <c r="BL103" s="39">
        <f>AX103*(1-$B$20)</f>
        <v/>
      </c>
      <c r="BM103" s="39">
        <f>IF(BK103=1,BL103,AX103*(1+$B$22)*(1-$B$20)*(1-BJ103))</f>
        <v/>
      </c>
      <c r="BN103" s="39">
        <f>IF(BK103=1,BL103/$B$21,BM103/($B$21-$B$22))</f>
        <v/>
      </c>
      <c r="BO103" s="39">
        <f>BN103/(1+$B$21)^(5-0.5*$B$23)</f>
        <v/>
      </c>
      <c r="BP103" s="39">
        <f>BG103+BO103</f>
        <v/>
      </c>
      <c r="BQ103" s="39">
        <f>BP103*(1+$B$21)^$B$24-N103*$B$24*(1+$B$21)^($B$24/2)</f>
        <v/>
      </c>
      <c r="BR103" s="39">
        <f>BQ103-$B$25+$B$26+$B$27</f>
        <v/>
      </c>
      <c r="BS103" s="39">
        <f>IF($B$28=1,$B$30,BR103*$B$29)</f>
        <v/>
      </c>
      <c r="BT103" s="39">
        <f>BR103-BS103</f>
        <v/>
      </c>
      <c r="BU103" s="58">
        <f>BT103/$B$31</f>
        <v/>
      </c>
    </row>
    <row r="104">
      <c r="A104" s="17" t="inlineStr">
        <is>
          <t>2-4</t>
        </is>
      </c>
      <c r="B104" s="26" t="n">
        <v>-0.03</v>
      </c>
      <c r="C104" s="26" t="n">
        <v>0.02</v>
      </c>
      <c r="D104" s="39">
        <f>$B$5*(1+('1_Assumptions'!$E$11+IF('1_Assumptions'!$B$39=1,0,$B104)))</f>
        <v/>
      </c>
      <c r="E104" s="39">
        <f>D104*(1-('1_Assumptions'!$E$17+IF('1_Assumptions'!$B$39=1,0,$C104)))</f>
        <v/>
      </c>
      <c r="F104" s="39">
        <f>D104-E104-D104*$B$11+D104*$B$12</f>
        <v/>
      </c>
      <c r="G104" s="39">
        <f>$B$6*$B$13</f>
        <v/>
      </c>
      <c r="H104" s="39">
        <f>D104*'1_Assumptions'!$E$23</f>
        <v/>
      </c>
      <c r="I104" s="39">
        <f>$B$6+H104-G104</f>
        <v/>
      </c>
      <c r="J104" s="39">
        <f>D104*$B$14</f>
        <v/>
      </c>
      <c r="K104" s="39">
        <f>$B$7-J104</f>
        <v/>
      </c>
      <c r="L104" s="39">
        <f>$B$8+D104*$B$16-$B$8/$B$18</f>
        <v/>
      </c>
      <c r="M104" s="39">
        <f>D104*'1_Assumptions'!$B$56/365+E104*'1_Assumptions'!$B$57/365+D104*'1_Assumptions'!$B$54-E104*'1_Assumptions'!$B$58/365-D104*'1_Assumptions'!$B$55</f>
        <v/>
      </c>
      <c r="N104" s="39">
        <f>F104*(1-$B$15)+G104+J104+IF($B$19=1,D104*'1_Assumptions'!$E$29,0)-H104-(M104-$B$10)</f>
        <v/>
      </c>
      <c r="O104" s="39">
        <f>D104*(1+('1_Assumptions'!$E$12+$B104))</f>
        <v/>
      </c>
      <c r="P104" s="39">
        <f>O104*(1-('1_Assumptions'!$E$18+$C104))</f>
        <v/>
      </c>
      <c r="Q104" s="39">
        <f>O104-P104-O104*$B$11+O104*$B$12</f>
        <v/>
      </c>
      <c r="R104" s="39">
        <f>I104*$B$13</f>
        <v/>
      </c>
      <c r="S104" s="39">
        <f>O104*'1_Assumptions'!$E$24</f>
        <v/>
      </c>
      <c r="T104" s="39">
        <f>I104+S104-R104</f>
        <v/>
      </c>
      <c r="U104" s="39">
        <f>O104*$B$14</f>
        <v/>
      </c>
      <c r="V104" s="39">
        <f>K104-U104</f>
        <v/>
      </c>
      <c r="W104" s="39">
        <f>L104+O104*$B$16-L104/$B$18</f>
        <v/>
      </c>
      <c r="X104" s="39">
        <f>O104*'1_Assumptions'!$B$56/365+P104*'1_Assumptions'!$B$57/365+O104*'1_Assumptions'!$B$54-P104*'1_Assumptions'!$B$58/365-O104*'1_Assumptions'!$B$55</f>
        <v/>
      </c>
      <c r="Y104" s="39">
        <f>Q104*(1-$B$15)+R104+U104+IF($B$19=1,O104*'1_Assumptions'!$E$30,0)-S104-(X104-M104)</f>
        <v/>
      </c>
      <c r="Z104" s="39">
        <f>O104*(1+('1_Assumptions'!$E$13+$B104))</f>
        <v/>
      </c>
      <c r="AA104" s="39">
        <f>Z104*(1-('1_Assumptions'!$E$19+$C104))</f>
        <v/>
      </c>
      <c r="AB104" s="39">
        <f>Z104-AA104-Z104*$B$11+Z104*$B$12</f>
        <v/>
      </c>
      <c r="AC104" s="39">
        <f>T104*$B$13</f>
        <v/>
      </c>
      <c r="AD104" s="39">
        <f>Z104*'1_Assumptions'!$E$25</f>
        <v/>
      </c>
      <c r="AE104" s="39">
        <f>T104+AD104-AC104</f>
        <v/>
      </c>
      <c r="AF104" s="39">
        <f>Z104*$B$14</f>
        <v/>
      </c>
      <c r="AG104" s="39">
        <f>V104-AF104</f>
        <v/>
      </c>
      <c r="AH104" s="39">
        <f>W104+Z104*$B$16-W104/$B$18</f>
        <v/>
      </c>
      <c r="AI104" s="39">
        <f>Z104*'1_Assumptions'!$B$56/365+AA104*'1_Assumptions'!$B$57/365+Z104*'1_Assumptions'!$B$54-AA104*'1_Assumptions'!$B$58/365-Z104*'1_Assumptions'!$B$55</f>
        <v/>
      </c>
      <c r="AJ104" s="39">
        <f>AB104*(1-$B$15)+AC104+AF104+IF($B$19=1,Z104*'1_Assumptions'!$E$31,0)-AD104-(AI104-X104)</f>
        <v/>
      </c>
      <c r="AK104" s="39">
        <f>Z104*(1+('1_Assumptions'!$E$14+$B104))</f>
        <v/>
      </c>
      <c r="AL104" s="39">
        <f>AK104*(1-('1_Assumptions'!$E$20+$C104))</f>
        <v/>
      </c>
      <c r="AM104" s="39">
        <f>AK104-AL104-AK104*$B$11+AK104*$B$12</f>
        <v/>
      </c>
      <c r="AN104" s="39">
        <f>AE104*$B$13</f>
        <v/>
      </c>
      <c r="AO104" s="39">
        <f>AK104*'1_Assumptions'!$E$26</f>
        <v/>
      </c>
      <c r="AP104" s="39">
        <f>AE104+AO104-AN104</f>
        <v/>
      </c>
      <c r="AQ104" s="39">
        <f>AK104*$B$14</f>
        <v/>
      </c>
      <c r="AR104" s="39">
        <f>AG104-AQ104</f>
        <v/>
      </c>
      <c r="AS104" s="39">
        <f>AH104+AK104*$B$16-AH104/$B$18</f>
        <v/>
      </c>
      <c r="AT104" s="39">
        <f>AK104*'1_Assumptions'!$B$56/365+AL104*'1_Assumptions'!$B$57/365+AK104*'1_Assumptions'!$B$54-AL104*'1_Assumptions'!$B$58/365-AK104*'1_Assumptions'!$B$55</f>
        <v/>
      </c>
      <c r="AU104" s="39">
        <f>AM104*(1-$B$15)+AN104+AQ104+IF($B$19=1,AK104*'1_Assumptions'!$E$32,0)-AO104-(AT104-AI104)</f>
        <v/>
      </c>
      <c r="AV104" s="39">
        <f>AK104*(1+('1_Assumptions'!$E$15+$B104))</f>
        <v/>
      </c>
      <c r="AW104" s="39">
        <f>AV104*(1-('1_Assumptions'!$E$21+$C104))</f>
        <v/>
      </c>
      <c r="AX104" s="39">
        <f>AV104-AW104-AV104*$B$11+AV104*$B$12</f>
        <v/>
      </c>
      <c r="AY104" s="39">
        <f>AP104*$B$13</f>
        <v/>
      </c>
      <c r="AZ104" s="39">
        <f>AV104*'1_Assumptions'!$E$27</f>
        <v/>
      </c>
      <c r="BA104" s="39">
        <f>AP104+AZ104-AY104</f>
        <v/>
      </c>
      <c r="BB104" s="39">
        <f>AV104*$B$14</f>
        <v/>
      </c>
      <c r="BC104" s="39">
        <f>AR104-BB104</f>
        <v/>
      </c>
      <c r="BD104" s="39">
        <f>AS104+AV104*$B$16-AS104/$B$18</f>
        <v/>
      </c>
      <c r="BE104" s="39">
        <f>AV104*'1_Assumptions'!$B$56/365+AW104*'1_Assumptions'!$B$57/365+AV104*'1_Assumptions'!$B$54-AW104*'1_Assumptions'!$B$58/365-AV104*'1_Assumptions'!$B$55</f>
        <v/>
      </c>
      <c r="BF104" s="39">
        <f>AX104*(1-$B$15)+AY104+BB104+IF($B$19=1,AV104*'1_Assumptions'!$E$33,0)-AZ104-(BE104-AT104)</f>
        <v/>
      </c>
      <c r="BG104" s="39">
        <f>N104/(1+$B$21)^(1-0.5*$B$23)+Y104/(1+$B$21)^(2-0.5*$B$23)+AJ104/(1+$B$21)^(3-0.5*$B$23)+AU104/(1+$B$21)^(4-0.5*$B$23)+BF104/(1+$B$21)^(5-0.5*$B$23)</f>
        <v/>
      </c>
      <c r="BH104" s="39">
        <f>BE104+BA104+BC104+$B$9+IF($B$17=1,BD104,0)</f>
        <v/>
      </c>
      <c r="BI104" s="19">
        <f>IF($B$32=2,$B$21+$B$33,IF(BH104=0,0,BL104/BH104))</f>
        <v/>
      </c>
      <c r="BJ104" s="19">
        <f>IF(BI104=0,9,$B$22/BI104)</f>
        <v/>
      </c>
      <c r="BK104" s="55">
        <f>IF(OR(BH104&lt;=0,BI104&lt;=$B$21,BJ104&gt;=1,BJ104&lt;0),1,0)</f>
        <v/>
      </c>
      <c r="BL104" s="39">
        <f>AX104*(1-$B$20)</f>
        <v/>
      </c>
      <c r="BM104" s="39">
        <f>IF(BK104=1,BL104,AX104*(1+$B$22)*(1-$B$20)*(1-BJ104))</f>
        <v/>
      </c>
      <c r="BN104" s="39">
        <f>IF(BK104=1,BL104/$B$21,BM104/($B$21-$B$22))</f>
        <v/>
      </c>
      <c r="BO104" s="39">
        <f>BN104/(1+$B$21)^(5-0.5*$B$23)</f>
        <v/>
      </c>
      <c r="BP104" s="39">
        <f>BG104+BO104</f>
        <v/>
      </c>
      <c r="BQ104" s="39">
        <f>BP104*(1+$B$21)^$B$24-N104*$B$24*(1+$B$21)^($B$24/2)</f>
        <v/>
      </c>
      <c r="BR104" s="39">
        <f>BQ104-$B$25+$B$26+$B$27</f>
        <v/>
      </c>
      <c r="BS104" s="39">
        <f>IF($B$28=1,$B$30,BR104*$B$29)</f>
        <v/>
      </c>
      <c r="BT104" s="39">
        <f>BR104-BS104</f>
        <v/>
      </c>
      <c r="BU104" s="58">
        <f>BT104/$B$31</f>
        <v/>
      </c>
    </row>
    <row r="105">
      <c r="A105" s="17" t="inlineStr">
        <is>
          <t>2-5</t>
        </is>
      </c>
      <c r="B105" s="26" t="n">
        <v>-0.03</v>
      </c>
      <c r="C105" s="26" t="n">
        <v>0.04</v>
      </c>
      <c r="D105" s="39">
        <f>$B$5*(1+('1_Assumptions'!$E$11+IF('1_Assumptions'!$B$39=1,0,$B105)))</f>
        <v/>
      </c>
      <c r="E105" s="39">
        <f>D105*(1-('1_Assumptions'!$E$17+IF('1_Assumptions'!$B$39=1,0,$C105)))</f>
        <v/>
      </c>
      <c r="F105" s="39">
        <f>D105-E105-D105*$B$11+D105*$B$12</f>
        <v/>
      </c>
      <c r="G105" s="39">
        <f>$B$6*$B$13</f>
        <v/>
      </c>
      <c r="H105" s="39">
        <f>D105*'1_Assumptions'!$E$23</f>
        <v/>
      </c>
      <c r="I105" s="39">
        <f>$B$6+H105-G105</f>
        <v/>
      </c>
      <c r="J105" s="39">
        <f>D105*$B$14</f>
        <v/>
      </c>
      <c r="K105" s="39">
        <f>$B$7-J105</f>
        <v/>
      </c>
      <c r="L105" s="39">
        <f>$B$8+D105*$B$16-$B$8/$B$18</f>
        <v/>
      </c>
      <c r="M105" s="39">
        <f>D105*'1_Assumptions'!$B$56/365+E105*'1_Assumptions'!$B$57/365+D105*'1_Assumptions'!$B$54-E105*'1_Assumptions'!$B$58/365-D105*'1_Assumptions'!$B$55</f>
        <v/>
      </c>
      <c r="N105" s="39">
        <f>F105*(1-$B$15)+G105+J105+IF($B$19=1,D105*'1_Assumptions'!$E$29,0)-H105-(M105-$B$10)</f>
        <v/>
      </c>
      <c r="O105" s="39">
        <f>D105*(1+('1_Assumptions'!$E$12+$B105))</f>
        <v/>
      </c>
      <c r="P105" s="39">
        <f>O105*(1-('1_Assumptions'!$E$18+$C105))</f>
        <v/>
      </c>
      <c r="Q105" s="39">
        <f>O105-P105-O105*$B$11+O105*$B$12</f>
        <v/>
      </c>
      <c r="R105" s="39">
        <f>I105*$B$13</f>
        <v/>
      </c>
      <c r="S105" s="39">
        <f>O105*'1_Assumptions'!$E$24</f>
        <v/>
      </c>
      <c r="T105" s="39">
        <f>I105+S105-R105</f>
        <v/>
      </c>
      <c r="U105" s="39">
        <f>O105*$B$14</f>
        <v/>
      </c>
      <c r="V105" s="39">
        <f>K105-U105</f>
        <v/>
      </c>
      <c r="W105" s="39">
        <f>L105+O105*$B$16-L105/$B$18</f>
        <v/>
      </c>
      <c r="X105" s="39">
        <f>O105*'1_Assumptions'!$B$56/365+P105*'1_Assumptions'!$B$57/365+O105*'1_Assumptions'!$B$54-P105*'1_Assumptions'!$B$58/365-O105*'1_Assumptions'!$B$55</f>
        <v/>
      </c>
      <c r="Y105" s="39">
        <f>Q105*(1-$B$15)+R105+U105+IF($B$19=1,O105*'1_Assumptions'!$E$30,0)-S105-(X105-M105)</f>
        <v/>
      </c>
      <c r="Z105" s="39">
        <f>O105*(1+('1_Assumptions'!$E$13+$B105))</f>
        <v/>
      </c>
      <c r="AA105" s="39">
        <f>Z105*(1-('1_Assumptions'!$E$19+$C105))</f>
        <v/>
      </c>
      <c r="AB105" s="39">
        <f>Z105-AA105-Z105*$B$11+Z105*$B$12</f>
        <v/>
      </c>
      <c r="AC105" s="39">
        <f>T105*$B$13</f>
        <v/>
      </c>
      <c r="AD105" s="39">
        <f>Z105*'1_Assumptions'!$E$25</f>
        <v/>
      </c>
      <c r="AE105" s="39">
        <f>T105+AD105-AC105</f>
        <v/>
      </c>
      <c r="AF105" s="39">
        <f>Z105*$B$14</f>
        <v/>
      </c>
      <c r="AG105" s="39">
        <f>V105-AF105</f>
        <v/>
      </c>
      <c r="AH105" s="39">
        <f>W105+Z105*$B$16-W105/$B$18</f>
        <v/>
      </c>
      <c r="AI105" s="39">
        <f>Z105*'1_Assumptions'!$B$56/365+AA105*'1_Assumptions'!$B$57/365+Z105*'1_Assumptions'!$B$54-AA105*'1_Assumptions'!$B$58/365-Z105*'1_Assumptions'!$B$55</f>
        <v/>
      </c>
      <c r="AJ105" s="39">
        <f>AB105*(1-$B$15)+AC105+AF105+IF($B$19=1,Z105*'1_Assumptions'!$E$31,0)-AD105-(AI105-X105)</f>
        <v/>
      </c>
      <c r="AK105" s="39">
        <f>Z105*(1+('1_Assumptions'!$E$14+$B105))</f>
        <v/>
      </c>
      <c r="AL105" s="39">
        <f>AK105*(1-('1_Assumptions'!$E$20+$C105))</f>
        <v/>
      </c>
      <c r="AM105" s="39">
        <f>AK105-AL105-AK105*$B$11+AK105*$B$12</f>
        <v/>
      </c>
      <c r="AN105" s="39">
        <f>AE105*$B$13</f>
        <v/>
      </c>
      <c r="AO105" s="39">
        <f>AK105*'1_Assumptions'!$E$26</f>
        <v/>
      </c>
      <c r="AP105" s="39">
        <f>AE105+AO105-AN105</f>
        <v/>
      </c>
      <c r="AQ105" s="39">
        <f>AK105*$B$14</f>
        <v/>
      </c>
      <c r="AR105" s="39">
        <f>AG105-AQ105</f>
        <v/>
      </c>
      <c r="AS105" s="39">
        <f>AH105+AK105*$B$16-AH105/$B$18</f>
        <v/>
      </c>
      <c r="AT105" s="39">
        <f>AK105*'1_Assumptions'!$B$56/365+AL105*'1_Assumptions'!$B$57/365+AK105*'1_Assumptions'!$B$54-AL105*'1_Assumptions'!$B$58/365-AK105*'1_Assumptions'!$B$55</f>
        <v/>
      </c>
      <c r="AU105" s="39">
        <f>AM105*(1-$B$15)+AN105+AQ105+IF($B$19=1,AK105*'1_Assumptions'!$E$32,0)-AO105-(AT105-AI105)</f>
        <v/>
      </c>
      <c r="AV105" s="39">
        <f>AK105*(1+('1_Assumptions'!$E$15+$B105))</f>
        <v/>
      </c>
      <c r="AW105" s="39">
        <f>AV105*(1-('1_Assumptions'!$E$21+$C105))</f>
        <v/>
      </c>
      <c r="AX105" s="39">
        <f>AV105-AW105-AV105*$B$11+AV105*$B$12</f>
        <v/>
      </c>
      <c r="AY105" s="39">
        <f>AP105*$B$13</f>
        <v/>
      </c>
      <c r="AZ105" s="39">
        <f>AV105*'1_Assumptions'!$E$27</f>
        <v/>
      </c>
      <c r="BA105" s="39">
        <f>AP105+AZ105-AY105</f>
        <v/>
      </c>
      <c r="BB105" s="39">
        <f>AV105*$B$14</f>
        <v/>
      </c>
      <c r="BC105" s="39">
        <f>AR105-BB105</f>
        <v/>
      </c>
      <c r="BD105" s="39">
        <f>AS105+AV105*$B$16-AS105/$B$18</f>
        <v/>
      </c>
      <c r="BE105" s="39">
        <f>AV105*'1_Assumptions'!$B$56/365+AW105*'1_Assumptions'!$B$57/365+AV105*'1_Assumptions'!$B$54-AW105*'1_Assumptions'!$B$58/365-AV105*'1_Assumptions'!$B$55</f>
        <v/>
      </c>
      <c r="BF105" s="39">
        <f>AX105*(1-$B$15)+AY105+BB105+IF($B$19=1,AV105*'1_Assumptions'!$E$33,0)-AZ105-(BE105-AT105)</f>
        <v/>
      </c>
      <c r="BG105" s="39">
        <f>N105/(1+$B$21)^(1-0.5*$B$23)+Y105/(1+$B$21)^(2-0.5*$B$23)+AJ105/(1+$B$21)^(3-0.5*$B$23)+AU105/(1+$B$21)^(4-0.5*$B$23)+BF105/(1+$B$21)^(5-0.5*$B$23)</f>
        <v/>
      </c>
      <c r="BH105" s="39">
        <f>BE105+BA105+BC105+$B$9+IF($B$17=1,BD105,0)</f>
        <v/>
      </c>
      <c r="BI105" s="19">
        <f>IF($B$32=2,$B$21+$B$33,IF(BH105=0,0,BL105/BH105))</f>
        <v/>
      </c>
      <c r="BJ105" s="19">
        <f>IF(BI105=0,9,$B$22/BI105)</f>
        <v/>
      </c>
      <c r="BK105" s="55">
        <f>IF(OR(BH105&lt;=0,BI105&lt;=$B$21,BJ105&gt;=1,BJ105&lt;0),1,0)</f>
        <v/>
      </c>
      <c r="BL105" s="39">
        <f>AX105*(1-$B$20)</f>
        <v/>
      </c>
      <c r="BM105" s="39">
        <f>IF(BK105=1,BL105,AX105*(1+$B$22)*(1-$B$20)*(1-BJ105))</f>
        <v/>
      </c>
      <c r="BN105" s="39">
        <f>IF(BK105=1,BL105/$B$21,BM105/($B$21-$B$22))</f>
        <v/>
      </c>
      <c r="BO105" s="39">
        <f>BN105/(1+$B$21)^(5-0.5*$B$23)</f>
        <v/>
      </c>
      <c r="BP105" s="39">
        <f>BG105+BO105</f>
        <v/>
      </c>
      <c r="BQ105" s="39">
        <f>BP105*(1+$B$21)^$B$24-N105*$B$24*(1+$B$21)^($B$24/2)</f>
        <v/>
      </c>
      <c r="BR105" s="39">
        <f>BQ105-$B$25+$B$26+$B$27</f>
        <v/>
      </c>
      <c r="BS105" s="39">
        <f>IF($B$28=1,$B$30,BR105*$B$29)</f>
        <v/>
      </c>
      <c r="BT105" s="39">
        <f>BR105-BS105</f>
        <v/>
      </c>
      <c r="BU105" s="58">
        <f>BT105/$B$31</f>
        <v/>
      </c>
    </row>
    <row r="106">
      <c r="A106" s="17" t="inlineStr">
        <is>
          <t>3-1</t>
        </is>
      </c>
      <c r="B106" s="26" t="n">
        <v>0</v>
      </c>
      <c r="C106" s="26" t="n">
        <v>-0.04</v>
      </c>
      <c r="D106" s="39">
        <f>$B$5*(1+('1_Assumptions'!$E$11+IF('1_Assumptions'!$B$39=1,0,$B106)))</f>
        <v/>
      </c>
      <c r="E106" s="39">
        <f>D106*(1-('1_Assumptions'!$E$17+IF('1_Assumptions'!$B$39=1,0,$C106)))</f>
        <v/>
      </c>
      <c r="F106" s="39">
        <f>D106-E106-D106*$B$11+D106*$B$12</f>
        <v/>
      </c>
      <c r="G106" s="39">
        <f>$B$6*$B$13</f>
        <v/>
      </c>
      <c r="H106" s="39">
        <f>D106*'1_Assumptions'!$E$23</f>
        <v/>
      </c>
      <c r="I106" s="39">
        <f>$B$6+H106-G106</f>
        <v/>
      </c>
      <c r="J106" s="39">
        <f>D106*$B$14</f>
        <v/>
      </c>
      <c r="K106" s="39">
        <f>$B$7-J106</f>
        <v/>
      </c>
      <c r="L106" s="39">
        <f>$B$8+D106*$B$16-$B$8/$B$18</f>
        <v/>
      </c>
      <c r="M106" s="39">
        <f>D106*'1_Assumptions'!$B$56/365+E106*'1_Assumptions'!$B$57/365+D106*'1_Assumptions'!$B$54-E106*'1_Assumptions'!$B$58/365-D106*'1_Assumptions'!$B$55</f>
        <v/>
      </c>
      <c r="N106" s="39">
        <f>F106*(1-$B$15)+G106+J106+IF($B$19=1,D106*'1_Assumptions'!$E$29,0)-H106-(M106-$B$10)</f>
        <v/>
      </c>
      <c r="O106" s="39">
        <f>D106*(1+('1_Assumptions'!$E$12+$B106))</f>
        <v/>
      </c>
      <c r="P106" s="39">
        <f>O106*(1-('1_Assumptions'!$E$18+$C106))</f>
        <v/>
      </c>
      <c r="Q106" s="39">
        <f>O106-P106-O106*$B$11+O106*$B$12</f>
        <v/>
      </c>
      <c r="R106" s="39">
        <f>I106*$B$13</f>
        <v/>
      </c>
      <c r="S106" s="39">
        <f>O106*'1_Assumptions'!$E$24</f>
        <v/>
      </c>
      <c r="T106" s="39">
        <f>I106+S106-R106</f>
        <v/>
      </c>
      <c r="U106" s="39">
        <f>O106*$B$14</f>
        <v/>
      </c>
      <c r="V106" s="39">
        <f>K106-U106</f>
        <v/>
      </c>
      <c r="W106" s="39">
        <f>L106+O106*$B$16-L106/$B$18</f>
        <v/>
      </c>
      <c r="X106" s="39">
        <f>O106*'1_Assumptions'!$B$56/365+P106*'1_Assumptions'!$B$57/365+O106*'1_Assumptions'!$B$54-P106*'1_Assumptions'!$B$58/365-O106*'1_Assumptions'!$B$55</f>
        <v/>
      </c>
      <c r="Y106" s="39">
        <f>Q106*(1-$B$15)+R106+U106+IF($B$19=1,O106*'1_Assumptions'!$E$30,0)-S106-(X106-M106)</f>
        <v/>
      </c>
      <c r="Z106" s="39">
        <f>O106*(1+('1_Assumptions'!$E$13+$B106))</f>
        <v/>
      </c>
      <c r="AA106" s="39">
        <f>Z106*(1-('1_Assumptions'!$E$19+$C106))</f>
        <v/>
      </c>
      <c r="AB106" s="39">
        <f>Z106-AA106-Z106*$B$11+Z106*$B$12</f>
        <v/>
      </c>
      <c r="AC106" s="39">
        <f>T106*$B$13</f>
        <v/>
      </c>
      <c r="AD106" s="39">
        <f>Z106*'1_Assumptions'!$E$25</f>
        <v/>
      </c>
      <c r="AE106" s="39">
        <f>T106+AD106-AC106</f>
        <v/>
      </c>
      <c r="AF106" s="39">
        <f>Z106*$B$14</f>
        <v/>
      </c>
      <c r="AG106" s="39">
        <f>V106-AF106</f>
        <v/>
      </c>
      <c r="AH106" s="39">
        <f>W106+Z106*$B$16-W106/$B$18</f>
        <v/>
      </c>
      <c r="AI106" s="39">
        <f>Z106*'1_Assumptions'!$B$56/365+AA106*'1_Assumptions'!$B$57/365+Z106*'1_Assumptions'!$B$54-AA106*'1_Assumptions'!$B$58/365-Z106*'1_Assumptions'!$B$55</f>
        <v/>
      </c>
      <c r="AJ106" s="39">
        <f>AB106*(1-$B$15)+AC106+AF106+IF($B$19=1,Z106*'1_Assumptions'!$E$31,0)-AD106-(AI106-X106)</f>
        <v/>
      </c>
      <c r="AK106" s="39">
        <f>Z106*(1+('1_Assumptions'!$E$14+$B106))</f>
        <v/>
      </c>
      <c r="AL106" s="39">
        <f>AK106*(1-('1_Assumptions'!$E$20+$C106))</f>
        <v/>
      </c>
      <c r="AM106" s="39">
        <f>AK106-AL106-AK106*$B$11+AK106*$B$12</f>
        <v/>
      </c>
      <c r="AN106" s="39">
        <f>AE106*$B$13</f>
        <v/>
      </c>
      <c r="AO106" s="39">
        <f>AK106*'1_Assumptions'!$E$26</f>
        <v/>
      </c>
      <c r="AP106" s="39">
        <f>AE106+AO106-AN106</f>
        <v/>
      </c>
      <c r="AQ106" s="39">
        <f>AK106*$B$14</f>
        <v/>
      </c>
      <c r="AR106" s="39">
        <f>AG106-AQ106</f>
        <v/>
      </c>
      <c r="AS106" s="39">
        <f>AH106+AK106*$B$16-AH106/$B$18</f>
        <v/>
      </c>
      <c r="AT106" s="39">
        <f>AK106*'1_Assumptions'!$B$56/365+AL106*'1_Assumptions'!$B$57/365+AK106*'1_Assumptions'!$B$54-AL106*'1_Assumptions'!$B$58/365-AK106*'1_Assumptions'!$B$55</f>
        <v/>
      </c>
      <c r="AU106" s="39">
        <f>AM106*(1-$B$15)+AN106+AQ106+IF($B$19=1,AK106*'1_Assumptions'!$E$32,0)-AO106-(AT106-AI106)</f>
        <v/>
      </c>
      <c r="AV106" s="39">
        <f>AK106*(1+('1_Assumptions'!$E$15+$B106))</f>
        <v/>
      </c>
      <c r="AW106" s="39">
        <f>AV106*(1-('1_Assumptions'!$E$21+$C106))</f>
        <v/>
      </c>
      <c r="AX106" s="39">
        <f>AV106-AW106-AV106*$B$11+AV106*$B$12</f>
        <v/>
      </c>
      <c r="AY106" s="39">
        <f>AP106*$B$13</f>
        <v/>
      </c>
      <c r="AZ106" s="39">
        <f>AV106*'1_Assumptions'!$E$27</f>
        <v/>
      </c>
      <c r="BA106" s="39">
        <f>AP106+AZ106-AY106</f>
        <v/>
      </c>
      <c r="BB106" s="39">
        <f>AV106*$B$14</f>
        <v/>
      </c>
      <c r="BC106" s="39">
        <f>AR106-BB106</f>
        <v/>
      </c>
      <c r="BD106" s="39">
        <f>AS106+AV106*$B$16-AS106/$B$18</f>
        <v/>
      </c>
      <c r="BE106" s="39">
        <f>AV106*'1_Assumptions'!$B$56/365+AW106*'1_Assumptions'!$B$57/365+AV106*'1_Assumptions'!$B$54-AW106*'1_Assumptions'!$B$58/365-AV106*'1_Assumptions'!$B$55</f>
        <v/>
      </c>
      <c r="BF106" s="39">
        <f>AX106*(1-$B$15)+AY106+BB106+IF($B$19=1,AV106*'1_Assumptions'!$E$33,0)-AZ106-(BE106-AT106)</f>
        <v/>
      </c>
      <c r="BG106" s="39">
        <f>N106/(1+$B$21)^(1-0.5*$B$23)+Y106/(1+$B$21)^(2-0.5*$B$23)+AJ106/(1+$B$21)^(3-0.5*$B$23)+AU106/(1+$B$21)^(4-0.5*$B$23)+BF106/(1+$B$21)^(5-0.5*$B$23)</f>
        <v/>
      </c>
      <c r="BH106" s="39">
        <f>BE106+BA106+BC106+$B$9+IF($B$17=1,BD106,0)</f>
        <v/>
      </c>
      <c r="BI106" s="19">
        <f>IF($B$32=2,$B$21+$B$33,IF(BH106=0,0,BL106/BH106))</f>
        <v/>
      </c>
      <c r="BJ106" s="19">
        <f>IF(BI106=0,9,$B$22/BI106)</f>
        <v/>
      </c>
      <c r="BK106" s="55">
        <f>IF(OR(BH106&lt;=0,BI106&lt;=$B$21,BJ106&gt;=1,BJ106&lt;0),1,0)</f>
        <v/>
      </c>
      <c r="BL106" s="39">
        <f>AX106*(1-$B$20)</f>
        <v/>
      </c>
      <c r="BM106" s="39">
        <f>IF(BK106=1,BL106,AX106*(1+$B$22)*(1-$B$20)*(1-BJ106))</f>
        <v/>
      </c>
      <c r="BN106" s="39">
        <f>IF(BK106=1,BL106/$B$21,BM106/($B$21-$B$22))</f>
        <v/>
      </c>
      <c r="BO106" s="39">
        <f>BN106/(1+$B$21)^(5-0.5*$B$23)</f>
        <v/>
      </c>
      <c r="BP106" s="39">
        <f>BG106+BO106</f>
        <v/>
      </c>
      <c r="BQ106" s="39">
        <f>BP106*(1+$B$21)^$B$24-N106*$B$24*(1+$B$21)^($B$24/2)</f>
        <v/>
      </c>
      <c r="BR106" s="39">
        <f>BQ106-$B$25+$B$26+$B$27</f>
        <v/>
      </c>
      <c r="BS106" s="39">
        <f>IF($B$28=1,$B$30,BR106*$B$29)</f>
        <v/>
      </c>
      <c r="BT106" s="39">
        <f>BR106-BS106</f>
        <v/>
      </c>
      <c r="BU106" s="58">
        <f>BT106/$B$31</f>
        <v/>
      </c>
    </row>
    <row r="107">
      <c r="A107" s="17" t="inlineStr">
        <is>
          <t>3-2</t>
        </is>
      </c>
      <c r="B107" s="26" t="n">
        <v>0</v>
      </c>
      <c r="C107" s="26" t="n">
        <v>-0.02</v>
      </c>
      <c r="D107" s="39">
        <f>$B$5*(1+('1_Assumptions'!$E$11+IF('1_Assumptions'!$B$39=1,0,$B107)))</f>
        <v/>
      </c>
      <c r="E107" s="39">
        <f>D107*(1-('1_Assumptions'!$E$17+IF('1_Assumptions'!$B$39=1,0,$C107)))</f>
        <v/>
      </c>
      <c r="F107" s="39">
        <f>D107-E107-D107*$B$11+D107*$B$12</f>
        <v/>
      </c>
      <c r="G107" s="39">
        <f>$B$6*$B$13</f>
        <v/>
      </c>
      <c r="H107" s="39">
        <f>D107*'1_Assumptions'!$E$23</f>
        <v/>
      </c>
      <c r="I107" s="39">
        <f>$B$6+H107-G107</f>
        <v/>
      </c>
      <c r="J107" s="39">
        <f>D107*$B$14</f>
        <v/>
      </c>
      <c r="K107" s="39">
        <f>$B$7-J107</f>
        <v/>
      </c>
      <c r="L107" s="39">
        <f>$B$8+D107*$B$16-$B$8/$B$18</f>
        <v/>
      </c>
      <c r="M107" s="39">
        <f>D107*'1_Assumptions'!$B$56/365+E107*'1_Assumptions'!$B$57/365+D107*'1_Assumptions'!$B$54-E107*'1_Assumptions'!$B$58/365-D107*'1_Assumptions'!$B$55</f>
        <v/>
      </c>
      <c r="N107" s="39">
        <f>F107*(1-$B$15)+G107+J107+IF($B$19=1,D107*'1_Assumptions'!$E$29,0)-H107-(M107-$B$10)</f>
        <v/>
      </c>
      <c r="O107" s="39">
        <f>D107*(1+('1_Assumptions'!$E$12+$B107))</f>
        <v/>
      </c>
      <c r="P107" s="39">
        <f>O107*(1-('1_Assumptions'!$E$18+$C107))</f>
        <v/>
      </c>
      <c r="Q107" s="39">
        <f>O107-P107-O107*$B$11+O107*$B$12</f>
        <v/>
      </c>
      <c r="R107" s="39">
        <f>I107*$B$13</f>
        <v/>
      </c>
      <c r="S107" s="39">
        <f>O107*'1_Assumptions'!$E$24</f>
        <v/>
      </c>
      <c r="T107" s="39">
        <f>I107+S107-R107</f>
        <v/>
      </c>
      <c r="U107" s="39">
        <f>O107*$B$14</f>
        <v/>
      </c>
      <c r="V107" s="39">
        <f>K107-U107</f>
        <v/>
      </c>
      <c r="W107" s="39">
        <f>L107+O107*$B$16-L107/$B$18</f>
        <v/>
      </c>
      <c r="X107" s="39">
        <f>O107*'1_Assumptions'!$B$56/365+P107*'1_Assumptions'!$B$57/365+O107*'1_Assumptions'!$B$54-P107*'1_Assumptions'!$B$58/365-O107*'1_Assumptions'!$B$55</f>
        <v/>
      </c>
      <c r="Y107" s="39">
        <f>Q107*(1-$B$15)+R107+U107+IF($B$19=1,O107*'1_Assumptions'!$E$30,0)-S107-(X107-M107)</f>
        <v/>
      </c>
      <c r="Z107" s="39">
        <f>O107*(1+('1_Assumptions'!$E$13+$B107))</f>
        <v/>
      </c>
      <c r="AA107" s="39">
        <f>Z107*(1-('1_Assumptions'!$E$19+$C107))</f>
        <v/>
      </c>
      <c r="AB107" s="39">
        <f>Z107-AA107-Z107*$B$11+Z107*$B$12</f>
        <v/>
      </c>
      <c r="AC107" s="39">
        <f>T107*$B$13</f>
        <v/>
      </c>
      <c r="AD107" s="39">
        <f>Z107*'1_Assumptions'!$E$25</f>
        <v/>
      </c>
      <c r="AE107" s="39">
        <f>T107+AD107-AC107</f>
        <v/>
      </c>
      <c r="AF107" s="39">
        <f>Z107*$B$14</f>
        <v/>
      </c>
      <c r="AG107" s="39">
        <f>V107-AF107</f>
        <v/>
      </c>
      <c r="AH107" s="39">
        <f>W107+Z107*$B$16-W107/$B$18</f>
        <v/>
      </c>
      <c r="AI107" s="39">
        <f>Z107*'1_Assumptions'!$B$56/365+AA107*'1_Assumptions'!$B$57/365+Z107*'1_Assumptions'!$B$54-AA107*'1_Assumptions'!$B$58/365-Z107*'1_Assumptions'!$B$55</f>
        <v/>
      </c>
      <c r="AJ107" s="39">
        <f>AB107*(1-$B$15)+AC107+AF107+IF($B$19=1,Z107*'1_Assumptions'!$E$31,0)-AD107-(AI107-X107)</f>
        <v/>
      </c>
      <c r="AK107" s="39">
        <f>Z107*(1+('1_Assumptions'!$E$14+$B107))</f>
        <v/>
      </c>
      <c r="AL107" s="39">
        <f>AK107*(1-('1_Assumptions'!$E$20+$C107))</f>
        <v/>
      </c>
      <c r="AM107" s="39">
        <f>AK107-AL107-AK107*$B$11+AK107*$B$12</f>
        <v/>
      </c>
      <c r="AN107" s="39">
        <f>AE107*$B$13</f>
        <v/>
      </c>
      <c r="AO107" s="39">
        <f>AK107*'1_Assumptions'!$E$26</f>
        <v/>
      </c>
      <c r="AP107" s="39">
        <f>AE107+AO107-AN107</f>
        <v/>
      </c>
      <c r="AQ107" s="39">
        <f>AK107*$B$14</f>
        <v/>
      </c>
      <c r="AR107" s="39">
        <f>AG107-AQ107</f>
        <v/>
      </c>
      <c r="AS107" s="39">
        <f>AH107+AK107*$B$16-AH107/$B$18</f>
        <v/>
      </c>
      <c r="AT107" s="39">
        <f>AK107*'1_Assumptions'!$B$56/365+AL107*'1_Assumptions'!$B$57/365+AK107*'1_Assumptions'!$B$54-AL107*'1_Assumptions'!$B$58/365-AK107*'1_Assumptions'!$B$55</f>
        <v/>
      </c>
      <c r="AU107" s="39">
        <f>AM107*(1-$B$15)+AN107+AQ107+IF($B$19=1,AK107*'1_Assumptions'!$E$32,0)-AO107-(AT107-AI107)</f>
        <v/>
      </c>
      <c r="AV107" s="39">
        <f>AK107*(1+('1_Assumptions'!$E$15+$B107))</f>
        <v/>
      </c>
      <c r="AW107" s="39">
        <f>AV107*(1-('1_Assumptions'!$E$21+$C107))</f>
        <v/>
      </c>
      <c r="AX107" s="39">
        <f>AV107-AW107-AV107*$B$11+AV107*$B$12</f>
        <v/>
      </c>
      <c r="AY107" s="39">
        <f>AP107*$B$13</f>
        <v/>
      </c>
      <c r="AZ107" s="39">
        <f>AV107*'1_Assumptions'!$E$27</f>
        <v/>
      </c>
      <c r="BA107" s="39">
        <f>AP107+AZ107-AY107</f>
        <v/>
      </c>
      <c r="BB107" s="39">
        <f>AV107*$B$14</f>
        <v/>
      </c>
      <c r="BC107" s="39">
        <f>AR107-BB107</f>
        <v/>
      </c>
      <c r="BD107" s="39">
        <f>AS107+AV107*$B$16-AS107/$B$18</f>
        <v/>
      </c>
      <c r="BE107" s="39">
        <f>AV107*'1_Assumptions'!$B$56/365+AW107*'1_Assumptions'!$B$57/365+AV107*'1_Assumptions'!$B$54-AW107*'1_Assumptions'!$B$58/365-AV107*'1_Assumptions'!$B$55</f>
        <v/>
      </c>
      <c r="BF107" s="39">
        <f>AX107*(1-$B$15)+AY107+BB107+IF($B$19=1,AV107*'1_Assumptions'!$E$33,0)-AZ107-(BE107-AT107)</f>
        <v/>
      </c>
      <c r="BG107" s="39">
        <f>N107/(1+$B$21)^(1-0.5*$B$23)+Y107/(1+$B$21)^(2-0.5*$B$23)+AJ107/(1+$B$21)^(3-0.5*$B$23)+AU107/(1+$B$21)^(4-0.5*$B$23)+BF107/(1+$B$21)^(5-0.5*$B$23)</f>
        <v/>
      </c>
      <c r="BH107" s="39">
        <f>BE107+BA107+BC107+$B$9+IF($B$17=1,BD107,0)</f>
        <v/>
      </c>
      <c r="BI107" s="19">
        <f>IF($B$32=2,$B$21+$B$33,IF(BH107=0,0,BL107/BH107))</f>
        <v/>
      </c>
      <c r="BJ107" s="19">
        <f>IF(BI107=0,9,$B$22/BI107)</f>
        <v/>
      </c>
      <c r="BK107" s="55">
        <f>IF(OR(BH107&lt;=0,BI107&lt;=$B$21,BJ107&gt;=1,BJ107&lt;0),1,0)</f>
        <v/>
      </c>
      <c r="BL107" s="39">
        <f>AX107*(1-$B$20)</f>
        <v/>
      </c>
      <c r="BM107" s="39">
        <f>IF(BK107=1,BL107,AX107*(1+$B$22)*(1-$B$20)*(1-BJ107))</f>
        <v/>
      </c>
      <c r="BN107" s="39">
        <f>IF(BK107=1,BL107/$B$21,BM107/($B$21-$B$22))</f>
        <v/>
      </c>
      <c r="BO107" s="39">
        <f>BN107/(1+$B$21)^(5-0.5*$B$23)</f>
        <v/>
      </c>
      <c r="BP107" s="39">
        <f>BG107+BO107</f>
        <v/>
      </c>
      <c r="BQ107" s="39">
        <f>BP107*(1+$B$21)^$B$24-N107*$B$24*(1+$B$21)^($B$24/2)</f>
        <v/>
      </c>
      <c r="BR107" s="39">
        <f>BQ107-$B$25+$B$26+$B$27</f>
        <v/>
      </c>
      <c r="BS107" s="39">
        <f>IF($B$28=1,$B$30,BR107*$B$29)</f>
        <v/>
      </c>
      <c r="BT107" s="39">
        <f>BR107-BS107</f>
        <v/>
      </c>
      <c r="BU107" s="58">
        <f>BT107/$B$31</f>
        <v/>
      </c>
    </row>
    <row r="108">
      <c r="A108" s="17" t="inlineStr">
        <is>
          <t>3-3</t>
        </is>
      </c>
      <c r="B108" s="26" t="n">
        <v>0</v>
      </c>
      <c r="C108" s="26" t="n">
        <v>0</v>
      </c>
      <c r="D108" s="39">
        <f>$B$5*(1+('1_Assumptions'!$E$11+IF('1_Assumptions'!$B$39=1,0,$B108)))</f>
        <v/>
      </c>
      <c r="E108" s="39">
        <f>D108*(1-('1_Assumptions'!$E$17+IF('1_Assumptions'!$B$39=1,0,$C108)))</f>
        <v/>
      </c>
      <c r="F108" s="39">
        <f>D108-E108-D108*$B$11+D108*$B$12</f>
        <v/>
      </c>
      <c r="G108" s="39">
        <f>$B$6*$B$13</f>
        <v/>
      </c>
      <c r="H108" s="39">
        <f>D108*'1_Assumptions'!$E$23</f>
        <v/>
      </c>
      <c r="I108" s="39">
        <f>$B$6+H108-G108</f>
        <v/>
      </c>
      <c r="J108" s="39">
        <f>D108*$B$14</f>
        <v/>
      </c>
      <c r="K108" s="39">
        <f>$B$7-J108</f>
        <v/>
      </c>
      <c r="L108" s="39">
        <f>$B$8+D108*$B$16-$B$8/$B$18</f>
        <v/>
      </c>
      <c r="M108" s="39">
        <f>D108*'1_Assumptions'!$B$56/365+E108*'1_Assumptions'!$B$57/365+D108*'1_Assumptions'!$B$54-E108*'1_Assumptions'!$B$58/365-D108*'1_Assumptions'!$B$55</f>
        <v/>
      </c>
      <c r="N108" s="39">
        <f>F108*(1-$B$15)+G108+J108+IF($B$19=1,D108*'1_Assumptions'!$E$29,0)-H108-(M108-$B$10)</f>
        <v/>
      </c>
      <c r="O108" s="39">
        <f>D108*(1+('1_Assumptions'!$E$12+$B108))</f>
        <v/>
      </c>
      <c r="P108" s="39">
        <f>O108*(1-('1_Assumptions'!$E$18+$C108))</f>
        <v/>
      </c>
      <c r="Q108" s="39">
        <f>O108-P108-O108*$B$11+O108*$B$12</f>
        <v/>
      </c>
      <c r="R108" s="39">
        <f>I108*$B$13</f>
        <v/>
      </c>
      <c r="S108" s="39">
        <f>O108*'1_Assumptions'!$E$24</f>
        <v/>
      </c>
      <c r="T108" s="39">
        <f>I108+S108-R108</f>
        <v/>
      </c>
      <c r="U108" s="39">
        <f>O108*$B$14</f>
        <v/>
      </c>
      <c r="V108" s="39">
        <f>K108-U108</f>
        <v/>
      </c>
      <c r="W108" s="39">
        <f>L108+O108*$B$16-L108/$B$18</f>
        <v/>
      </c>
      <c r="X108" s="39">
        <f>O108*'1_Assumptions'!$B$56/365+P108*'1_Assumptions'!$B$57/365+O108*'1_Assumptions'!$B$54-P108*'1_Assumptions'!$B$58/365-O108*'1_Assumptions'!$B$55</f>
        <v/>
      </c>
      <c r="Y108" s="39">
        <f>Q108*(1-$B$15)+R108+U108+IF($B$19=1,O108*'1_Assumptions'!$E$30,0)-S108-(X108-M108)</f>
        <v/>
      </c>
      <c r="Z108" s="39">
        <f>O108*(1+('1_Assumptions'!$E$13+$B108))</f>
        <v/>
      </c>
      <c r="AA108" s="39">
        <f>Z108*(1-('1_Assumptions'!$E$19+$C108))</f>
        <v/>
      </c>
      <c r="AB108" s="39">
        <f>Z108-AA108-Z108*$B$11+Z108*$B$12</f>
        <v/>
      </c>
      <c r="AC108" s="39">
        <f>T108*$B$13</f>
        <v/>
      </c>
      <c r="AD108" s="39">
        <f>Z108*'1_Assumptions'!$E$25</f>
        <v/>
      </c>
      <c r="AE108" s="39">
        <f>T108+AD108-AC108</f>
        <v/>
      </c>
      <c r="AF108" s="39">
        <f>Z108*$B$14</f>
        <v/>
      </c>
      <c r="AG108" s="39">
        <f>V108-AF108</f>
        <v/>
      </c>
      <c r="AH108" s="39">
        <f>W108+Z108*$B$16-W108/$B$18</f>
        <v/>
      </c>
      <c r="AI108" s="39">
        <f>Z108*'1_Assumptions'!$B$56/365+AA108*'1_Assumptions'!$B$57/365+Z108*'1_Assumptions'!$B$54-AA108*'1_Assumptions'!$B$58/365-Z108*'1_Assumptions'!$B$55</f>
        <v/>
      </c>
      <c r="AJ108" s="39">
        <f>AB108*(1-$B$15)+AC108+AF108+IF($B$19=1,Z108*'1_Assumptions'!$E$31,0)-AD108-(AI108-X108)</f>
        <v/>
      </c>
      <c r="AK108" s="39">
        <f>Z108*(1+('1_Assumptions'!$E$14+$B108))</f>
        <v/>
      </c>
      <c r="AL108" s="39">
        <f>AK108*(1-('1_Assumptions'!$E$20+$C108))</f>
        <v/>
      </c>
      <c r="AM108" s="39">
        <f>AK108-AL108-AK108*$B$11+AK108*$B$12</f>
        <v/>
      </c>
      <c r="AN108" s="39">
        <f>AE108*$B$13</f>
        <v/>
      </c>
      <c r="AO108" s="39">
        <f>AK108*'1_Assumptions'!$E$26</f>
        <v/>
      </c>
      <c r="AP108" s="39">
        <f>AE108+AO108-AN108</f>
        <v/>
      </c>
      <c r="AQ108" s="39">
        <f>AK108*$B$14</f>
        <v/>
      </c>
      <c r="AR108" s="39">
        <f>AG108-AQ108</f>
        <v/>
      </c>
      <c r="AS108" s="39">
        <f>AH108+AK108*$B$16-AH108/$B$18</f>
        <v/>
      </c>
      <c r="AT108" s="39">
        <f>AK108*'1_Assumptions'!$B$56/365+AL108*'1_Assumptions'!$B$57/365+AK108*'1_Assumptions'!$B$54-AL108*'1_Assumptions'!$B$58/365-AK108*'1_Assumptions'!$B$55</f>
        <v/>
      </c>
      <c r="AU108" s="39">
        <f>AM108*(1-$B$15)+AN108+AQ108+IF($B$19=1,AK108*'1_Assumptions'!$E$32,0)-AO108-(AT108-AI108)</f>
        <v/>
      </c>
      <c r="AV108" s="39">
        <f>AK108*(1+('1_Assumptions'!$E$15+$B108))</f>
        <v/>
      </c>
      <c r="AW108" s="39">
        <f>AV108*(1-('1_Assumptions'!$E$21+$C108))</f>
        <v/>
      </c>
      <c r="AX108" s="39">
        <f>AV108-AW108-AV108*$B$11+AV108*$B$12</f>
        <v/>
      </c>
      <c r="AY108" s="39">
        <f>AP108*$B$13</f>
        <v/>
      </c>
      <c r="AZ108" s="39">
        <f>AV108*'1_Assumptions'!$E$27</f>
        <v/>
      </c>
      <c r="BA108" s="39">
        <f>AP108+AZ108-AY108</f>
        <v/>
      </c>
      <c r="BB108" s="39">
        <f>AV108*$B$14</f>
        <v/>
      </c>
      <c r="BC108" s="39">
        <f>AR108-BB108</f>
        <v/>
      </c>
      <c r="BD108" s="39">
        <f>AS108+AV108*$B$16-AS108/$B$18</f>
        <v/>
      </c>
      <c r="BE108" s="39">
        <f>AV108*'1_Assumptions'!$B$56/365+AW108*'1_Assumptions'!$B$57/365+AV108*'1_Assumptions'!$B$54-AW108*'1_Assumptions'!$B$58/365-AV108*'1_Assumptions'!$B$55</f>
        <v/>
      </c>
      <c r="BF108" s="39">
        <f>AX108*(1-$B$15)+AY108+BB108+IF($B$19=1,AV108*'1_Assumptions'!$E$33,0)-AZ108-(BE108-AT108)</f>
        <v/>
      </c>
      <c r="BG108" s="39">
        <f>N108/(1+$B$21)^(1-0.5*$B$23)+Y108/(1+$B$21)^(2-0.5*$B$23)+AJ108/(1+$B$21)^(3-0.5*$B$23)+AU108/(1+$B$21)^(4-0.5*$B$23)+BF108/(1+$B$21)^(5-0.5*$B$23)</f>
        <v/>
      </c>
      <c r="BH108" s="39">
        <f>BE108+BA108+BC108+$B$9+IF($B$17=1,BD108,0)</f>
        <v/>
      </c>
      <c r="BI108" s="19">
        <f>IF($B$32=2,$B$21+$B$33,IF(BH108=0,0,BL108/BH108))</f>
        <v/>
      </c>
      <c r="BJ108" s="19">
        <f>IF(BI108=0,9,$B$22/BI108)</f>
        <v/>
      </c>
      <c r="BK108" s="55">
        <f>IF(OR(BH108&lt;=0,BI108&lt;=$B$21,BJ108&gt;=1,BJ108&lt;0),1,0)</f>
        <v/>
      </c>
      <c r="BL108" s="39">
        <f>AX108*(1-$B$20)</f>
        <v/>
      </c>
      <c r="BM108" s="39">
        <f>IF(BK108=1,BL108,AX108*(1+$B$22)*(1-$B$20)*(1-BJ108))</f>
        <v/>
      </c>
      <c r="BN108" s="39">
        <f>IF(BK108=1,BL108/$B$21,BM108/($B$21-$B$22))</f>
        <v/>
      </c>
      <c r="BO108" s="39">
        <f>BN108/(1+$B$21)^(5-0.5*$B$23)</f>
        <v/>
      </c>
      <c r="BP108" s="39">
        <f>BG108+BO108</f>
        <v/>
      </c>
      <c r="BQ108" s="39">
        <f>BP108*(1+$B$21)^$B$24-N108*$B$24*(1+$B$21)^($B$24/2)</f>
        <v/>
      </c>
      <c r="BR108" s="39">
        <f>BQ108-$B$25+$B$26+$B$27</f>
        <v/>
      </c>
      <c r="BS108" s="39">
        <f>IF($B$28=1,$B$30,BR108*$B$29)</f>
        <v/>
      </c>
      <c r="BT108" s="39">
        <f>BR108-BS108</f>
        <v/>
      </c>
      <c r="BU108" s="58">
        <f>BT108/$B$31</f>
        <v/>
      </c>
    </row>
    <row r="109">
      <c r="A109" s="17" t="inlineStr">
        <is>
          <t>3-4</t>
        </is>
      </c>
      <c r="B109" s="26" t="n">
        <v>0</v>
      </c>
      <c r="C109" s="26" t="n">
        <v>0.02</v>
      </c>
      <c r="D109" s="39">
        <f>$B$5*(1+('1_Assumptions'!$E$11+IF('1_Assumptions'!$B$39=1,0,$B109)))</f>
        <v/>
      </c>
      <c r="E109" s="39">
        <f>D109*(1-('1_Assumptions'!$E$17+IF('1_Assumptions'!$B$39=1,0,$C109)))</f>
        <v/>
      </c>
      <c r="F109" s="39">
        <f>D109-E109-D109*$B$11+D109*$B$12</f>
        <v/>
      </c>
      <c r="G109" s="39">
        <f>$B$6*$B$13</f>
        <v/>
      </c>
      <c r="H109" s="39">
        <f>D109*'1_Assumptions'!$E$23</f>
        <v/>
      </c>
      <c r="I109" s="39">
        <f>$B$6+H109-G109</f>
        <v/>
      </c>
      <c r="J109" s="39">
        <f>D109*$B$14</f>
        <v/>
      </c>
      <c r="K109" s="39">
        <f>$B$7-J109</f>
        <v/>
      </c>
      <c r="L109" s="39">
        <f>$B$8+D109*$B$16-$B$8/$B$18</f>
        <v/>
      </c>
      <c r="M109" s="39">
        <f>D109*'1_Assumptions'!$B$56/365+E109*'1_Assumptions'!$B$57/365+D109*'1_Assumptions'!$B$54-E109*'1_Assumptions'!$B$58/365-D109*'1_Assumptions'!$B$55</f>
        <v/>
      </c>
      <c r="N109" s="39">
        <f>F109*(1-$B$15)+G109+J109+IF($B$19=1,D109*'1_Assumptions'!$E$29,0)-H109-(M109-$B$10)</f>
        <v/>
      </c>
      <c r="O109" s="39">
        <f>D109*(1+('1_Assumptions'!$E$12+$B109))</f>
        <v/>
      </c>
      <c r="P109" s="39">
        <f>O109*(1-('1_Assumptions'!$E$18+$C109))</f>
        <v/>
      </c>
      <c r="Q109" s="39">
        <f>O109-P109-O109*$B$11+O109*$B$12</f>
        <v/>
      </c>
      <c r="R109" s="39">
        <f>I109*$B$13</f>
        <v/>
      </c>
      <c r="S109" s="39">
        <f>O109*'1_Assumptions'!$E$24</f>
        <v/>
      </c>
      <c r="T109" s="39">
        <f>I109+S109-R109</f>
        <v/>
      </c>
      <c r="U109" s="39">
        <f>O109*$B$14</f>
        <v/>
      </c>
      <c r="V109" s="39">
        <f>K109-U109</f>
        <v/>
      </c>
      <c r="W109" s="39">
        <f>L109+O109*$B$16-L109/$B$18</f>
        <v/>
      </c>
      <c r="X109" s="39">
        <f>O109*'1_Assumptions'!$B$56/365+P109*'1_Assumptions'!$B$57/365+O109*'1_Assumptions'!$B$54-P109*'1_Assumptions'!$B$58/365-O109*'1_Assumptions'!$B$55</f>
        <v/>
      </c>
      <c r="Y109" s="39">
        <f>Q109*(1-$B$15)+R109+U109+IF($B$19=1,O109*'1_Assumptions'!$E$30,0)-S109-(X109-M109)</f>
        <v/>
      </c>
      <c r="Z109" s="39">
        <f>O109*(1+('1_Assumptions'!$E$13+$B109))</f>
        <v/>
      </c>
      <c r="AA109" s="39">
        <f>Z109*(1-('1_Assumptions'!$E$19+$C109))</f>
        <v/>
      </c>
      <c r="AB109" s="39">
        <f>Z109-AA109-Z109*$B$11+Z109*$B$12</f>
        <v/>
      </c>
      <c r="AC109" s="39">
        <f>T109*$B$13</f>
        <v/>
      </c>
      <c r="AD109" s="39">
        <f>Z109*'1_Assumptions'!$E$25</f>
        <v/>
      </c>
      <c r="AE109" s="39">
        <f>T109+AD109-AC109</f>
        <v/>
      </c>
      <c r="AF109" s="39">
        <f>Z109*$B$14</f>
        <v/>
      </c>
      <c r="AG109" s="39">
        <f>V109-AF109</f>
        <v/>
      </c>
      <c r="AH109" s="39">
        <f>W109+Z109*$B$16-W109/$B$18</f>
        <v/>
      </c>
      <c r="AI109" s="39">
        <f>Z109*'1_Assumptions'!$B$56/365+AA109*'1_Assumptions'!$B$57/365+Z109*'1_Assumptions'!$B$54-AA109*'1_Assumptions'!$B$58/365-Z109*'1_Assumptions'!$B$55</f>
        <v/>
      </c>
      <c r="AJ109" s="39">
        <f>AB109*(1-$B$15)+AC109+AF109+IF($B$19=1,Z109*'1_Assumptions'!$E$31,0)-AD109-(AI109-X109)</f>
        <v/>
      </c>
      <c r="AK109" s="39">
        <f>Z109*(1+('1_Assumptions'!$E$14+$B109))</f>
        <v/>
      </c>
      <c r="AL109" s="39">
        <f>AK109*(1-('1_Assumptions'!$E$20+$C109))</f>
        <v/>
      </c>
      <c r="AM109" s="39">
        <f>AK109-AL109-AK109*$B$11+AK109*$B$12</f>
        <v/>
      </c>
      <c r="AN109" s="39">
        <f>AE109*$B$13</f>
        <v/>
      </c>
      <c r="AO109" s="39">
        <f>AK109*'1_Assumptions'!$E$26</f>
        <v/>
      </c>
      <c r="AP109" s="39">
        <f>AE109+AO109-AN109</f>
        <v/>
      </c>
      <c r="AQ109" s="39">
        <f>AK109*$B$14</f>
        <v/>
      </c>
      <c r="AR109" s="39">
        <f>AG109-AQ109</f>
        <v/>
      </c>
      <c r="AS109" s="39">
        <f>AH109+AK109*$B$16-AH109/$B$18</f>
        <v/>
      </c>
      <c r="AT109" s="39">
        <f>AK109*'1_Assumptions'!$B$56/365+AL109*'1_Assumptions'!$B$57/365+AK109*'1_Assumptions'!$B$54-AL109*'1_Assumptions'!$B$58/365-AK109*'1_Assumptions'!$B$55</f>
        <v/>
      </c>
      <c r="AU109" s="39">
        <f>AM109*(1-$B$15)+AN109+AQ109+IF($B$19=1,AK109*'1_Assumptions'!$E$32,0)-AO109-(AT109-AI109)</f>
        <v/>
      </c>
      <c r="AV109" s="39">
        <f>AK109*(1+('1_Assumptions'!$E$15+$B109))</f>
        <v/>
      </c>
      <c r="AW109" s="39">
        <f>AV109*(1-('1_Assumptions'!$E$21+$C109))</f>
        <v/>
      </c>
      <c r="AX109" s="39">
        <f>AV109-AW109-AV109*$B$11+AV109*$B$12</f>
        <v/>
      </c>
      <c r="AY109" s="39">
        <f>AP109*$B$13</f>
        <v/>
      </c>
      <c r="AZ109" s="39">
        <f>AV109*'1_Assumptions'!$E$27</f>
        <v/>
      </c>
      <c r="BA109" s="39">
        <f>AP109+AZ109-AY109</f>
        <v/>
      </c>
      <c r="BB109" s="39">
        <f>AV109*$B$14</f>
        <v/>
      </c>
      <c r="BC109" s="39">
        <f>AR109-BB109</f>
        <v/>
      </c>
      <c r="BD109" s="39">
        <f>AS109+AV109*$B$16-AS109/$B$18</f>
        <v/>
      </c>
      <c r="BE109" s="39">
        <f>AV109*'1_Assumptions'!$B$56/365+AW109*'1_Assumptions'!$B$57/365+AV109*'1_Assumptions'!$B$54-AW109*'1_Assumptions'!$B$58/365-AV109*'1_Assumptions'!$B$55</f>
        <v/>
      </c>
      <c r="BF109" s="39">
        <f>AX109*(1-$B$15)+AY109+BB109+IF($B$19=1,AV109*'1_Assumptions'!$E$33,0)-AZ109-(BE109-AT109)</f>
        <v/>
      </c>
      <c r="BG109" s="39">
        <f>N109/(1+$B$21)^(1-0.5*$B$23)+Y109/(1+$B$21)^(2-0.5*$B$23)+AJ109/(1+$B$21)^(3-0.5*$B$23)+AU109/(1+$B$21)^(4-0.5*$B$23)+BF109/(1+$B$21)^(5-0.5*$B$23)</f>
        <v/>
      </c>
      <c r="BH109" s="39">
        <f>BE109+BA109+BC109+$B$9+IF($B$17=1,BD109,0)</f>
        <v/>
      </c>
      <c r="BI109" s="19">
        <f>IF($B$32=2,$B$21+$B$33,IF(BH109=0,0,BL109/BH109))</f>
        <v/>
      </c>
      <c r="BJ109" s="19">
        <f>IF(BI109=0,9,$B$22/BI109)</f>
        <v/>
      </c>
      <c r="BK109" s="55">
        <f>IF(OR(BH109&lt;=0,BI109&lt;=$B$21,BJ109&gt;=1,BJ109&lt;0),1,0)</f>
        <v/>
      </c>
      <c r="BL109" s="39">
        <f>AX109*(1-$B$20)</f>
        <v/>
      </c>
      <c r="BM109" s="39">
        <f>IF(BK109=1,BL109,AX109*(1+$B$22)*(1-$B$20)*(1-BJ109))</f>
        <v/>
      </c>
      <c r="BN109" s="39">
        <f>IF(BK109=1,BL109/$B$21,BM109/($B$21-$B$22))</f>
        <v/>
      </c>
      <c r="BO109" s="39">
        <f>BN109/(1+$B$21)^(5-0.5*$B$23)</f>
        <v/>
      </c>
      <c r="BP109" s="39">
        <f>BG109+BO109</f>
        <v/>
      </c>
      <c r="BQ109" s="39">
        <f>BP109*(1+$B$21)^$B$24-N109*$B$24*(1+$B$21)^($B$24/2)</f>
        <v/>
      </c>
      <c r="BR109" s="39">
        <f>BQ109-$B$25+$B$26+$B$27</f>
        <v/>
      </c>
      <c r="BS109" s="39">
        <f>IF($B$28=1,$B$30,BR109*$B$29)</f>
        <v/>
      </c>
      <c r="BT109" s="39">
        <f>BR109-BS109</f>
        <v/>
      </c>
      <c r="BU109" s="58">
        <f>BT109/$B$31</f>
        <v/>
      </c>
    </row>
    <row r="110">
      <c r="A110" s="17" t="inlineStr">
        <is>
          <t>3-5</t>
        </is>
      </c>
      <c r="B110" s="26" t="n">
        <v>0</v>
      </c>
      <c r="C110" s="26" t="n">
        <v>0.04</v>
      </c>
      <c r="D110" s="39">
        <f>$B$5*(1+('1_Assumptions'!$E$11+IF('1_Assumptions'!$B$39=1,0,$B110)))</f>
        <v/>
      </c>
      <c r="E110" s="39">
        <f>D110*(1-('1_Assumptions'!$E$17+IF('1_Assumptions'!$B$39=1,0,$C110)))</f>
        <v/>
      </c>
      <c r="F110" s="39">
        <f>D110-E110-D110*$B$11+D110*$B$12</f>
        <v/>
      </c>
      <c r="G110" s="39">
        <f>$B$6*$B$13</f>
        <v/>
      </c>
      <c r="H110" s="39">
        <f>D110*'1_Assumptions'!$E$23</f>
        <v/>
      </c>
      <c r="I110" s="39">
        <f>$B$6+H110-G110</f>
        <v/>
      </c>
      <c r="J110" s="39">
        <f>D110*$B$14</f>
        <v/>
      </c>
      <c r="K110" s="39">
        <f>$B$7-J110</f>
        <v/>
      </c>
      <c r="L110" s="39">
        <f>$B$8+D110*$B$16-$B$8/$B$18</f>
        <v/>
      </c>
      <c r="M110" s="39">
        <f>D110*'1_Assumptions'!$B$56/365+E110*'1_Assumptions'!$B$57/365+D110*'1_Assumptions'!$B$54-E110*'1_Assumptions'!$B$58/365-D110*'1_Assumptions'!$B$55</f>
        <v/>
      </c>
      <c r="N110" s="39">
        <f>F110*(1-$B$15)+G110+J110+IF($B$19=1,D110*'1_Assumptions'!$E$29,0)-H110-(M110-$B$10)</f>
        <v/>
      </c>
      <c r="O110" s="39">
        <f>D110*(1+('1_Assumptions'!$E$12+$B110))</f>
        <v/>
      </c>
      <c r="P110" s="39">
        <f>O110*(1-('1_Assumptions'!$E$18+$C110))</f>
        <v/>
      </c>
      <c r="Q110" s="39">
        <f>O110-P110-O110*$B$11+O110*$B$12</f>
        <v/>
      </c>
      <c r="R110" s="39">
        <f>I110*$B$13</f>
        <v/>
      </c>
      <c r="S110" s="39">
        <f>O110*'1_Assumptions'!$E$24</f>
        <v/>
      </c>
      <c r="T110" s="39">
        <f>I110+S110-R110</f>
        <v/>
      </c>
      <c r="U110" s="39">
        <f>O110*$B$14</f>
        <v/>
      </c>
      <c r="V110" s="39">
        <f>K110-U110</f>
        <v/>
      </c>
      <c r="W110" s="39">
        <f>L110+O110*$B$16-L110/$B$18</f>
        <v/>
      </c>
      <c r="X110" s="39">
        <f>O110*'1_Assumptions'!$B$56/365+P110*'1_Assumptions'!$B$57/365+O110*'1_Assumptions'!$B$54-P110*'1_Assumptions'!$B$58/365-O110*'1_Assumptions'!$B$55</f>
        <v/>
      </c>
      <c r="Y110" s="39">
        <f>Q110*(1-$B$15)+R110+U110+IF($B$19=1,O110*'1_Assumptions'!$E$30,0)-S110-(X110-M110)</f>
        <v/>
      </c>
      <c r="Z110" s="39">
        <f>O110*(1+('1_Assumptions'!$E$13+$B110))</f>
        <v/>
      </c>
      <c r="AA110" s="39">
        <f>Z110*(1-('1_Assumptions'!$E$19+$C110))</f>
        <v/>
      </c>
      <c r="AB110" s="39">
        <f>Z110-AA110-Z110*$B$11+Z110*$B$12</f>
        <v/>
      </c>
      <c r="AC110" s="39">
        <f>T110*$B$13</f>
        <v/>
      </c>
      <c r="AD110" s="39">
        <f>Z110*'1_Assumptions'!$E$25</f>
        <v/>
      </c>
      <c r="AE110" s="39">
        <f>T110+AD110-AC110</f>
        <v/>
      </c>
      <c r="AF110" s="39">
        <f>Z110*$B$14</f>
        <v/>
      </c>
      <c r="AG110" s="39">
        <f>V110-AF110</f>
        <v/>
      </c>
      <c r="AH110" s="39">
        <f>W110+Z110*$B$16-W110/$B$18</f>
        <v/>
      </c>
      <c r="AI110" s="39">
        <f>Z110*'1_Assumptions'!$B$56/365+AA110*'1_Assumptions'!$B$57/365+Z110*'1_Assumptions'!$B$54-AA110*'1_Assumptions'!$B$58/365-Z110*'1_Assumptions'!$B$55</f>
        <v/>
      </c>
      <c r="AJ110" s="39">
        <f>AB110*(1-$B$15)+AC110+AF110+IF($B$19=1,Z110*'1_Assumptions'!$E$31,0)-AD110-(AI110-X110)</f>
        <v/>
      </c>
      <c r="AK110" s="39">
        <f>Z110*(1+('1_Assumptions'!$E$14+$B110))</f>
        <v/>
      </c>
      <c r="AL110" s="39">
        <f>AK110*(1-('1_Assumptions'!$E$20+$C110))</f>
        <v/>
      </c>
      <c r="AM110" s="39">
        <f>AK110-AL110-AK110*$B$11+AK110*$B$12</f>
        <v/>
      </c>
      <c r="AN110" s="39">
        <f>AE110*$B$13</f>
        <v/>
      </c>
      <c r="AO110" s="39">
        <f>AK110*'1_Assumptions'!$E$26</f>
        <v/>
      </c>
      <c r="AP110" s="39">
        <f>AE110+AO110-AN110</f>
        <v/>
      </c>
      <c r="AQ110" s="39">
        <f>AK110*$B$14</f>
        <v/>
      </c>
      <c r="AR110" s="39">
        <f>AG110-AQ110</f>
        <v/>
      </c>
      <c r="AS110" s="39">
        <f>AH110+AK110*$B$16-AH110/$B$18</f>
        <v/>
      </c>
      <c r="AT110" s="39">
        <f>AK110*'1_Assumptions'!$B$56/365+AL110*'1_Assumptions'!$B$57/365+AK110*'1_Assumptions'!$B$54-AL110*'1_Assumptions'!$B$58/365-AK110*'1_Assumptions'!$B$55</f>
        <v/>
      </c>
      <c r="AU110" s="39">
        <f>AM110*(1-$B$15)+AN110+AQ110+IF($B$19=1,AK110*'1_Assumptions'!$E$32,0)-AO110-(AT110-AI110)</f>
        <v/>
      </c>
      <c r="AV110" s="39">
        <f>AK110*(1+('1_Assumptions'!$E$15+$B110))</f>
        <v/>
      </c>
      <c r="AW110" s="39">
        <f>AV110*(1-('1_Assumptions'!$E$21+$C110))</f>
        <v/>
      </c>
      <c r="AX110" s="39">
        <f>AV110-AW110-AV110*$B$11+AV110*$B$12</f>
        <v/>
      </c>
      <c r="AY110" s="39">
        <f>AP110*$B$13</f>
        <v/>
      </c>
      <c r="AZ110" s="39">
        <f>AV110*'1_Assumptions'!$E$27</f>
        <v/>
      </c>
      <c r="BA110" s="39">
        <f>AP110+AZ110-AY110</f>
        <v/>
      </c>
      <c r="BB110" s="39">
        <f>AV110*$B$14</f>
        <v/>
      </c>
      <c r="BC110" s="39">
        <f>AR110-BB110</f>
        <v/>
      </c>
      <c r="BD110" s="39">
        <f>AS110+AV110*$B$16-AS110/$B$18</f>
        <v/>
      </c>
      <c r="BE110" s="39">
        <f>AV110*'1_Assumptions'!$B$56/365+AW110*'1_Assumptions'!$B$57/365+AV110*'1_Assumptions'!$B$54-AW110*'1_Assumptions'!$B$58/365-AV110*'1_Assumptions'!$B$55</f>
        <v/>
      </c>
      <c r="BF110" s="39">
        <f>AX110*(1-$B$15)+AY110+BB110+IF($B$19=1,AV110*'1_Assumptions'!$E$33,0)-AZ110-(BE110-AT110)</f>
        <v/>
      </c>
      <c r="BG110" s="39">
        <f>N110/(1+$B$21)^(1-0.5*$B$23)+Y110/(1+$B$21)^(2-0.5*$B$23)+AJ110/(1+$B$21)^(3-0.5*$B$23)+AU110/(1+$B$21)^(4-0.5*$B$23)+BF110/(1+$B$21)^(5-0.5*$B$23)</f>
        <v/>
      </c>
      <c r="BH110" s="39">
        <f>BE110+BA110+BC110+$B$9+IF($B$17=1,BD110,0)</f>
        <v/>
      </c>
      <c r="BI110" s="19">
        <f>IF($B$32=2,$B$21+$B$33,IF(BH110=0,0,BL110/BH110))</f>
        <v/>
      </c>
      <c r="BJ110" s="19">
        <f>IF(BI110=0,9,$B$22/BI110)</f>
        <v/>
      </c>
      <c r="BK110" s="55">
        <f>IF(OR(BH110&lt;=0,BI110&lt;=$B$21,BJ110&gt;=1,BJ110&lt;0),1,0)</f>
        <v/>
      </c>
      <c r="BL110" s="39">
        <f>AX110*(1-$B$20)</f>
        <v/>
      </c>
      <c r="BM110" s="39">
        <f>IF(BK110=1,BL110,AX110*(1+$B$22)*(1-$B$20)*(1-BJ110))</f>
        <v/>
      </c>
      <c r="BN110" s="39">
        <f>IF(BK110=1,BL110/$B$21,BM110/($B$21-$B$22))</f>
        <v/>
      </c>
      <c r="BO110" s="39">
        <f>BN110/(1+$B$21)^(5-0.5*$B$23)</f>
        <v/>
      </c>
      <c r="BP110" s="39">
        <f>BG110+BO110</f>
        <v/>
      </c>
      <c r="BQ110" s="39">
        <f>BP110*(1+$B$21)^$B$24-N110*$B$24*(1+$B$21)^($B$24/2)</f>
        <v/>
      </c>
      <c r="BR110" s="39">
        <f>BQ110-$B$25+$B$26+$B$27</f>
        <v/>
      </c>
      <c r="BS110" s="39">
        <f>IF($B$28=1,$B$30,BR110*$B$29)</f>
        <v/>
      </c>
      <c r="BT110" s="39">
        <f>BR110-BS110</f>
        <v/>
      </c>
      <c r="BU110" s="58">
        <f>BT110/$B$31</f>
        <v/>
      </c>
    </row>
    <row r="111">
      <c r="A111" s="17" t="inlineStr">
        <is>
          <t>4-1</t>
        </is>
      </c>
      <c r="B111" s="26" t="n">
        <v>0.03</v>
      </c>
      <c r="C111" s="26" t="n">
        <v>-0.04</v>
      </c>
      <c r="D111" s="39">
        <f>$B$5*(1+('1_Assumptions'!$E$11+IF('1_Assumptions'!$B$39=1,0,$B111)))</f>
        <v/>
      </c>
      <c r="E111" s="39">
        <f>D111*(1-('1_Assumptions'!$E$17+IF('1_Assumptions'!$B$39=1,0,$C111)))</f>
        <v/>
      </c>
      <c r="F111" s="39">
        <f>D111-E111-D111*$B$11+D111*$B$12</f>
        <v/>
      </c>
      <c r="G111" s="39">
        <f>$B$6*$B$13</f>
        <v/>
      </c>
      <c r="H111" s="39">
        <f>D111*'1_Assumptions'!$E$23</f>
        <v/>
      </c>
      <c r="I111" s="39">
        <f>$B$6+H111-G111</f>
        <v/>
      </c>
      <c r="J111" s="39">
        <f>D111*$B$14</f>
        <v/>
      </c>
      <c r="K111" s="39">
        <f>$B$7-J111</f>
        <v/>
      </c>
      <c r="L111" s="39">
        <f>$B$8+D111*$B$16-$B$8/$B$18</f>
        <v/>
      </c>
      <c r="M111" s="39">
        <f>D111*'1_Assumptions'!$B$56/365+E111*'1_Assumptions'!$B$57/365+D111*'1_Assumptions'!$B$54-E111*'1_Assumptions'!$B$58/365-D111*'1_Assumptions'!$B$55</f>
        <v/>
      </c>
      <c r="N111" s="39">
        <f>F111*(1-$B$15)+G111+J111+IF($B$19=1,D111*'1_Assumptions'!$E$29,0)-H111-(M111-$B$10)</f>
        <v/>
      </c>
      <c r="O111" s="39">
        <f>D111*(1+('1_Assumptions'!$E$12+$B111))</f>
        <v/>
      </c>
      <c r="P111" s="39">
        <f>O111*(1-('1_Assumptions'!$E$18+$C111))</f>
        <v/>
      </c>
      <c r="Q111" s="39">
        <f>O111-P111-O111*$B$11+O111*$B$12</f>
        <v/>
      </c>
      <c r="R111" s="39">
        <f>I111*$B$13</f>
        <v/>
      </c>
      <c r="S111" s="39">
        <f>O111*'1_Assumptions'!$E$24</f>
        <v/>
      </c>
      <c r="T111" s="39">
        <f>I111+S111-R111</f>
        <v/>
      </c>
      <c r="U111" s="39">
        <f>O111*$B$14</f>
        <v/>
      </c>
      <c r="V111" s="39">
        <f>K111-U111</f>
        <v/>
      </c>
      <c r="W111" s="39">
        <f>L111+O111*$B$16-L111/$B$18</f>
        <v/>
      </c>
      <c r="X111" s="39">
        <f>O111*'1_Assumptions'!$B$56/365+P111*'1_Assumptions'!$B$57/365+O111*'1_Assumptions'!$B$54-P111*'1_Assumptions'!$B$58/365-O111*'1_Assumptions'!$B$55</f>
        <v/>
      </c>
      <c r="Y111" s="39">
        <f>Q111*(1-$B$15)+R111+U111+IF($B$19=1,O111*'1_Assumptions'!$E$30,0)-S111-(X111-M111)</f>
        <v/>
      </c>
      <c r="Z111" s="39">
        <f>O111*(1+('1_Assumptions'!$E$13+$B111))</f>
        <v/>
      </c>
      <c r="AA111" s="39">
        <f>Z111*(1-('1_Assumptions'!$E$19+$C111))</f>
        <v/>
      </c>
      <c r="AB111" s="39">
        <f>Z111-AA111-Z111*$B$11+Z111*$B$12</f>
        <v/>
      </c>
      <c r="AC111" s="39">
        <f>T111*$B$13</f>
        <v/>
      </c>
      <c r="AD111" s="39">
        <f>Z111*'1_Assumptions'!$E$25</f>
        <v/>
      </c>
      <c r="AE111" s="39">
        <f>T111+AD111-AC111</f>
        <v/>
      </c>
      <c r="AF111" s="39">
        <f>Z111*$B$14</f>
        <v/>
      </c>
      <c r="AG111" s="39">
        <f>V111-AF111</f>
        <v/>
      </c>
      <c r="AH111" s="39">
        <f>W111+Z111*$B$16-W111/$B$18</f>
        <v/>
      </c>
      <c r="AI111" s="39">
        <f>Z111*'1_Assumptions'!$B$56/365+AA111*'1_Assumptions'!$B$57/365+Z111*'1_Assumptions'!$B$54-AA111*'1_Assumptions'!$B$58/365-Z111*'1_Assumptions'!$B$55</f>
        <v/>
      </c>
      <c r="AJ111" s="39">
        <f>AB111*(1-$B$15)+AC111+AF111+IF($B$19=1,Z111*'1_Assumptions'!$E$31,0)-AD111-(AI111-X111)</f>
        <v/>
      </c>
      <c r="AK111" s="39">
        <f>Z111*(1+('1_Assumptions'!$E$14+$B111))</f>
        <v/>
      </c>
      <c r="AL111" s="39">
        <f>AK111*(1-('1_Assumptions'!$E$20+$C111))</f>
        <v/>
      </c>
      <c r="AM111" s="39">
        <f>AK111-AL111-AK111*$B$11+AK111*$B$12</f>
        <v/>
      </c>
      <c r="AN111" s="39">
        <f>AE111*$B$13</f>
        <v/>
      </c>
      <c r="AO111" s="39">
        <f>AK111*'1_Assumptions'!$E$26</f>
        <v/>
      </c>
      <c r="AP111" s="39">
        <f>AE111+AO111-AN111</f>
        <v/>
      </c>
      <c r="AQ111" s="39">
        <f>AK111*$B$14</f>
        <v/>
      </c>
      <c r="AR111" s="39">
        <f>AG111-AQ111</f>
        <v/>
      </c>
      <c r="AS111" s="39">
        <f>AH111+AK111*$B$16-AH111/$B$18</f>
        <v/>
      </c>
      <c r="AT111" s="39">
        <f>AK111*'1_Assumptions'!$B$56/365+AL111*'1_Assumptions'!$B$57/365+AK111*'1_Assumptions'!$B$54-AL111*'1_Assumptions'!$B$58/365-AK111*'1_Assumptions'!$B$55</f>
        <v/>
      </c>
      <c r="AU111" s="39">
        <f>AM111*(1-$B$15)+AN111+AQ111+IF($B$19=1,AK111*'1_Assumptions'!$E$32,0)-AO111-(AT111-AI111)</f>
        <v/>
      </c>
      <c r="AV111" s="39">
        <f>AK111*(1+('1_Assumptions'!$E$15+$B111))</f>
        <v/>
      </c>
      <c r="AW111" s="39">
        <f>AV111*(1-('1_Assumptions'!$E$21+$C111))</f>
        <v/>
      </c>
      <c r="AX111" s="39">
        <f>AV111-AW111-AV111*$B$11+AV111*$B$12</f>
        <v/>
      </c>
      <c r="AY111" s="39">
        <f>AP111*$B$13</f>
        <v/>
      </c>
      <c r="AZ111" s="39">
        <f>AV111*'1_Assumptions'!$E$27</f>
        <v/>
      </c>
      <c r="BA111" s="39">
        <f>AP111+AZ111-AY111</f>
        <v/>
      </c>
      <c r="BB111" s="39">
        <f>AV111*$B$14</f>
        <v/>
      </c>
      <c r="BC111" s="39">
        <f>AR111-BB111</f>
        <v/>
      </c>
      <c r="BD111" s="39">
        <f>AS111+AV111*$B$16-AS111/$B$18</f>
        <v/>
      </c>
      <c r="BE111" s="39">
        <f>AV111*'1_Assumptions'!$B$56/365+AW111*'1_Assumptions'!$B$57/365+AV111*'1_Assumptions'!$B$54-AW111*'1_Assumptions'!$B$58/365-AV111*'1_Assumptions'!$B$55</f>
        <v/>
      </c>
      <c r="BF111" s="39">
        <f>AX111*(1-$B$15)+AY111+BB111+IF($B$19=1,AV111*'1_Assumptions'!$E$33,0)-AZ111-(BE111-AT111)</f>
        <v/>
      </c>
      <c r="BG111" s="39">
        <f>N111/(1+$B$21)^(1-0.5*$B$23)+Y111/(1+$B$21)^(2-0.5*$B$23)+AJ111/(1+$B$21)^(3-0.5*$B$23)+AU111/(1+$B$21)^(4-0.5*$B$23)+BF111/(1+$B$21)^(5-0.5*$B$23)</f>
        <v/>
      </c>
      <c r="BH111" s="39">
        <f>BE111+BA111+BC111+$B$9+IF($B$17=1,BD111,0)</f>
        <v/>
      </c>
      <c r="BI111" s="19">
        <f>IF($B$32=2,$B$21+$B$33,IF(BH111=0,0,BL111/BH111))</f>
        <v/>
      </c>
      <c r="BJ111" s="19">
        <f>IF(BI111=0,9,$B$22/BI111)</f>
        <v/>
      </c>
      <c r="BK111" s="55">
        <f>IF(OR(BH111&lt;=0,BI111&lt;=$B$21,BJ111&gt;=1,BJ111&lt;0),1,0)</f>
        <v/>
      </c>
      <c r="BL111" s="39">
        <f>AX111*(1-$B$20)</f>
        <v/>
      </c>
      <c r="BM111" s="39">
        <f>IF(BK111=1,BL111,AX111*(1+$B$22)*(1-$B$20)*(1-BJ111))</f>
        <v/>
      </c>
      <c r="BN111" s="39">
        <f>IF(BK111=1,BL111/$B$21,BM111/($B$21-$B$22))</f>
        <v/>
      </c>
      <c r="BO111" s="39">
        <f>BN111/(1+$B$21)^(5-0.5*$B$23)</f>
        <v/>
      </c>
      <c r="BP111" s="39">
        <f>BG111+BO111</f>
        <v/>
      </c>
      <c r="BQ111" s="39">
        <f>BP111*(1+$B$21)^$B$24-N111*$B$24*(1+$B$21)^($B$24/2)</f>
        <v/>
      </c>
      <c r="BR111" s="39">
        <f>BQ111-$B$25+$B$26+$B$27</f>
        <v/>
      </c>
      <c r="BS111" s="39">
        <f>IF($B$28=1,$B$30,BR111*$B$29)</f>
        <v/>
      </c>
      <c r="BT111" s="39">
        <f>BR111-BS111</f>
        <v/>
      </c>
      <c r="BU111" s="58">
        <f>BT111/$B$31</f>
        <v/>
      </c>
    </row>
    <row r="112">
      <c r="A112" s="17" t="inlineStr">
        <is>
          <t>4-2</t>
        </is>
      </c>
      <c r="B112" s="26" t="n">
        <v>0.03</v>
      </c>
      <c r="C112" s="26" t="n">
        <v>-0.02</v>
      </c>
      <c r="D112" s="39">
        <f>$B$5*(1+('1_Assumptions'!$E$11+IF('1_Assumptions'!$B$39=1,0,$B112)))</f>
        <v/>
      </c>
      <c r="E112" s="39">
        <f>D112*(1-('1_Assumptions'!$E$17+IF('1_Assumptions'!$B$39=1,0,$C112)))</f>
        <v/>
      </c>
      <c r="F112" s="39">
        <f>D112-E112-D112*$B$11+D112*$B$12</f>
        <v/>
      </c>
      <c r="G112" s="39">
        <f>$B$6*$B$13</f>
        <v/>
      </c>
      <c r="H112" s="39">
        <f>D112*'1_Assumptions'!$E$23</f>
        <v/>
      </c>
      <c r="I112" s="39">
        <f>$B$6+H112-G112</f>
        <v/>
      </c>
      <c r="J112" s="39">
        <f>D112*$B$14</f>
        <v/>
      </c>
      <c r="K112" s="39">
        <f>$B$7-J112</f>
        <v/>
      </c>
      <c r="L112" s="39">
        <f>$B$8+D112*$B$16-$B$8/$B$18</f>
        <v/>
      </c>
      <c r="M112" s="39">
        <f>D112*'1_Assumptions'!$B$56/365+E112*'1_Assumptions'!$B$57/365+D112*'1_Assumptions'!$B$54-E112*'1_Assumptions'!$B$58/365-D112*'1_Assumptions'!$B$55</f>
        <v/>
      </c>
      <c r="N112" s="39">
        <f>F112*(1-$B$15)+G112+J112+IF($B$19=1,D112*'1_Assumptions'!$E$29,0)-H112-(M112-$B$10)</f>
        <v/>
      </c>
      <c r="O112" s="39">
        <f>D112*(1+('1_Assumptions'!$E$12+$B112))</f>
        <v/>
      </c>
      <c r="P112" s="39">
        <f>O112*(1-('1_Assumptions'!$E$18+$C112))</f>
        <v/>
      </c>
      <c r="Q112" s="39">
        <f>O112-P112-O112*$B$11+O112*$B$12</f>
        <v/>
      </c>
      <c r="R112" s="39">
        <f>I112*$B$13</f>
        <v/>
      </c>
      <c r="S112" s="39">
        <f>O112*'1_Assumptions'!$E$24</f>
        <v/>
      </c>
      <c r="T112" s="39">
        <f>I112+S112-R112</f>
        <v/>
      </c>
      <c r="U112" s="39">
        <f>O112*$B$14</f>
        <v/>
      </c>
      <c r="V112" s="39">
        <f>K112-U112</f>
        <v/>
      </c>
      <c r="W112" s="39">
        <f>L112+O112*$B$16-L112/$B$18</f>
        <v/>
      </c>
      <c r="X112" s="39">
        <f>O112*'1_Assumptions'!$B$56/365+P112*'1_Assumptions'!$B$57/365+O112*'1_Assumptions'!$B$54-P112*'1_Assumptions'!$B$58/365-O112*'1_Assumptions'!$B$55</f>
        <v/>
      </c>
      <c r="Y112" s="39">
        <f>Q112*(1-$B$15)+R112+U112+IF($B$19=1,O112*'1_Assumptions'!$E$30,0)-S112-(X112-M112)</f>
        <v/>
      </c>
      <c r="Z112" s="39">
        <f>O112*(1+('1_Assumptions'!$E$13+$B112))</f>
        <v/>
      </c>
      <c r="AA112" s="39">
        <f>Z112*(1-('1_Assumptions'!$E$19+$C112))</f>
        <v/>
      </c>
      <c r="AB112" s="39">
        <f>Z112-AA112-Z112*$B$11+Z112*$B$12</f>
        <v/>
      </c>
      <c r="AC112" s="39">
        <f>T112*$B$13</f>
        <v/>
      </c>
      <c r="AD112" s="39">
        <f>Z112*'1_Assumptions'!$E$25</f>
        <v/>
      </c>
      <c r="AE112" s="39">
        <f>T112+AD112-AC112</f>
        <v/>
      </c>
      <c r="AF112" s="39">
        <f>Z112*$B$14</f>
        <v/>
      </c>
      <c r="AG112" s="39">
        <f>V112-AF112</f>
        <v/>
      </c>
      <c r="AH112" s="39">
        <f>W112+Z112*$B$16-W112/$B$18</f>
        <v/>
      </c>
      <c r="AI112" s="39">
        <f>Z112*'1_Assumptions'!$B$56/365+AA112*'1_Assumptions'!$B$57/365+Z112*'1_Assumptions'!$B$54-AA112*'1_Assumptions'!$B$58/365-Z112*'1_Assumptions'!$B$55</f>
        <v/>
      </c>
      <c r="AJ112" s="39">
        <f>AB112*(1-$B$15)+AC112+AF112+IF($B$19=1,Z112*'1_Assumptions'!$E$31,0)-AD112-(AI112-X112)</f>
        <v/>
      </c>
      <c r="AK112" s="39">
        <f>Z112*(1+('1_Assumptions'!$E$14+$B112))</f>
        <v/>
      </c>
      <c r="AL112" s="39">
        <f>AK112*(1-('1_Assumptions'!$E$20+$C112))</f>
        <v/>
      </c>
      <c r="AM112" s="39">
        <f>AK112-AL112-AK112*$B$11+AK112*$B$12</f>
        <v/>
      </c>
      <c r="AN112" s="39">
        <f>AE112*$B$13</f>
        <v/>
      </c>
      <c r="AO112" s="39">
        <f>AK112*'1_Assumptions'!$E$26</f>
        <v/>
      </c>
      <c r="AP112" s="39">
        <f>AE112+AO112-AN112</f>
        <v/>
      </c>
      <c r="AQ112" s="39">
        <f>AK112*$B$14</f>
        <v/>
      </c>
      <c r="AR112" s="39">
        <f>AG112-AQ112</f>
        <v/>
      </c>
      <c r="AS112" s="39">
        <f>AH112+AK112*$B$16-AH112/$B$18</f>
        <v/>
      </c>
      <c r="AT112" s="39">
        <f>AK112*'1_Assumptions'!$B$56/365+AL112*'1_Assumptions'!$B$57/365+AK112*'1_Assumptions'!$B$54-AL112*'1_Assumptions'!$B$58/365-AK112*'1_Assumptions'!$B$55</f>
        <v/>
      </c>
      <c r="AU112" s="39">
        <f>AM112*(1-$B$15)+AN112+AQ112+IF($B$19=1,AK112*'1_Assumptions'!$E$32,0)-AO112-(AT112-AI112)</f>
        <v/>
      </c>
      <c r="AV112" s="39">
        <f>AK112*(1+('1_Assumptions'!$E$15+$B112))</f>
        <v/>
      </c>
      <c r="AW112" s="39">
        <f>AV112*(1-('1_Assumptions'!$E$21+$C112))</f>
        <v/>
      </c>
      <c r="AX112" s="39">
        <f>AV112-AW112-AV112*$B$11+AV112*$B$12</f>
        <v/>
      </c>
      <c r="AY112" s="39">
        <f>AP112*$B$13</f>
        <v/>
      </c>
      <c r="AZ112" s="39">
        <f>AV112*'1_Assumptions'!$E$27</f>
        <v/>
      </c>
      <c r="BA112" s="39">
        <f>AP112+AZ112-AY112</f>
        <v/>
      </c>
      <c r="BB112" s="39">
        <f>AV112*$B$14</f>
        <v/>
      </c>
      <c r="BC112" s="39">
        <f>AR112-BB112</f>
        <v/>
      </c>
      <c r="BD112" s="39">
        <f>AS112+AV112*$B$16-AS112/$B$18</f>
        <v/>
      </c>
      <c r="BE112" s="39">
        <f>AV112*'1_Assumptions'!$B$56/365+AW112*'1_Assumptions'!$B$57/365+AV112*'1_Assumptions'!$B$54-AW112*'1_Assumptions'!$B$58/365-AV112*'1_Assumptions'!$B$55</f>
        <v/>
      </c>
      <c r="BF112" s="39">
        <f>AX112*(1-$B$15)+AY112+BB112+IF($B$19=1,AV112*'1_Assumptions'!$E$33,0)-AZ112-(BE112-AT112)</f>
        <v/>
      </c>
      <c r="BG112" s="39">
        <f>N112/(1+$B$21)^(1-0.5*$B$23)+Y112/(1+$B$21)^(2-0.5*$B$23)+AJ112/(1+$B$21)^(3-0.5*$B$23)+AU112/(1+$B$21)^(4-0.5*$B$23)+BF112/(1+$B$21)^(5-0.5*$B$23)</f>
        <v/>
      </c>
      <c r="BH112" s="39">
        <f>BE112+BA112+BC112+$B$9+IF($B$17=1,BD112,0)</f>
        <v/>
      </c>
      <c r="BI112" s="19">
        <f>IF($B$32=2,$B$21+$B$33,IF(BH112=0,0,BL112/BH112))</f>
        <v/>
      </c>
      <c r="BJ112" s="19">
        <f>IF(BI112=0,9,$B$22/BI112)</f>
        <v/>
      </c>
      <c r="BK112" s="55">
        <f>IF(OR(BH112&lt;=0,BI112&lt;=$B$21,BJ112&gt;=1,BJ112&lt;0),1,0)</f>
        <v/>
      </c>
      <c r="BL112" s="39">
        <f>AX112*(1-$B$20)</f>
        <v/>
      </c>
      <c r="BM112" s="39">
        <f>IF(BK112=1,BL112,AX112*(1+$B$22)*(1-$B$20)*(1-BJ112))</f>
        <v/>
      </c>
      <c r="BN112" s="39">
        <f>IF(BK112=1,BL112/$B$21,BM112/($B$21-$B$22))</f>
        <v/>
      </c>
      <c r="BO112" s="39">
        <f>BN112/(1+$B$21)^(5-0.5*$B$23)</f>
        <v/>
      </c>
      <c r="BP112" s="39">
        <f>BG112+BO112</f>
        <v/>
      </c>
      <c r="BQ112" s="39">
        <f>BP112*(1+$B$21)^$B$24-N112*$B$24*(1+$B$21)^($B$24/2)</f>
        <v/>
      </c>
      <c r="BR112" s="39">
        <f>BQ112-$B$25+$B$26+$B$27</f>
        <v/>
      </c>
      <c r="BS112" s="39">
        <f>IF($B$28=1,$B$30,BR112*$B$29)</f>
        <v/>
      </c>
      <c r="BT112" s="39">
        <f>BR112-BS112</f>
        <v/>
      </c>
      <c r="BU112" s="58">
        <f>BT112/$B$31</f>
        <v/>
      </c>
    </row>
    <row r="113">
      <c r="A113" s="17" t="inlineStr">
        <is>
          <t>4-3</t>
        </is>
      </c>
      <c r="B113" s="26" t="n">
        <v>0.03</v>
      </c>
      <c r="C113" s="26" t="n">
        <v>0</v>
      </c>
      <c r="D113" s="39">
        <f>$B$5*(1+('1_Assumptions'!$E$11+IF('1_Assumptions'!$B$39=1,0,$B113)))</f>
        <v/>
      </c>
      <c r="E113" s="39">
        <f>D113*(1-('1_Assumptions'!$E$17+IF('1_Assumptions'!$B$39=1,0,$C113)))</f>
        <v/>
      </c>
      <c r="F113" s="39">
        <f>D113-E113-D113*$B$11+D113*$B$12</f>
        <v/>
      </c>
      <c r="G113" s="39">
        <f>$B$6*$B$13</f>
        <v/>
      </c>
      <c r="H113" s="39">
        <f>D113*'1_Assumptions'!$E$23</f>
        <v/>
      </c>
      <c r="I113" s="39">
        <f>$B$6+H113-G113</f>
        <v/>
      </c>
      <c r="J113" s="39">
        <f>D113*$B$14</f>
        <v/>
      </c>
      <c r="K113" s="39">
        <f>$B$7-J113</f>
        <v/>
      </c>
      <c r="L113" s="39">
        <f>$B$8+D113*$B$16-$B$8/$B$18</f>
        <v/>
      </c>
      <c r="M113" s="39">
        <f>D113*'1_Assumptions'!$B$56/365+E113*'1_Assumptions'!$B$57/365+D113*'1_Assumptions'!$B$54-E113*'1_Assumptions'!$B$58/365-D113*'1_Assumptions'!$B$55</f>
        <v/>
      </c>
      <c r="N113" s="39">
        <f>F113*(1-$B$15)+G113+J113+IF($B$19=1,D113*'1_Assumptions'!$E$29,0)-H113-(M113-$B$10)</f>
        <v/>
      </c>
      <c r="O113" s="39">
        <f>D113*(1+('1_Assumptions'!$E$12+$B113))</f>
        <v/>
      </c>
      <c r="P113" s="39">
        <f>O113*(1-('1_Assumptions'!$E$18+$C113))</f>
        <v/>
      </c>
      <c r="Q113" s="39">
        <f>O113-P113-O113*$B$11+O113*$B$12</f>
        <v/>
      </c>
      <c r="R113" s="39">
        <f>I113*$B$13</f>
        <v/>
      </c>
      <c r="S113" s="39">
        <f>O113*'1_Assumptions'!$E$24</f>
        <v/>
      </c>
      <c r="T113" s="39">
        <f>I113+S113-R113</f>
        <v/>
      </c>
      <c r="U113" s="39">
        <f>O113*$B$14</f>
        <v/>
      </c>
      <c r="V113" s="39">
        <f>K113-U113</f>
        <v/>
      </c>
      <c r="W113" s="39">
        <f>L113+O113*$B$16-L113/$B$18</f>
        <v/>
      </c>
      <c r="X113" s="39">
        <f>O113*'1_Assumptions'!$B$56/365+P113*'1_Assumptions'!$B$57/365+O113*'1_Assumptions'!$B$54-P113*'1_Assumptions'!$B$58/365-O113*'1_Assumptions'!$B$55</f>
        <v/>
      </c>
      <c r="Y113" s="39">
        <f>Q113*(1-$B$15)+R113+U113+IF($B$19=1,O113*'1_Assumptions'!$E$30,0)-S113-(X113-M113)</f>
        <v/>
      </c>
      <c r="Z113" s="39">
        <f>O113*(1+('1_Assumptions'!$E$13+$B113))</f>
        <v/>
      </c>
      <c r="AA113" s="39">
        <f>Z113*(1-('1_Assumptions'!$E$19+$C113))</f>
        <v/>
      </c>
      <c r="AB113" s="39">
        <f>Z113-AA113-Z113*$B$11+Z113*$B$12</f>
        <v/>
      </c>
      <c r="AC113" s="39">
        <f>T113*$B$13</f>
        <v/>
      </c>
      <c r="AD113" s="39">
        <f>Z113*'1_Assumptions'!$E$25</f>
        <v/>
      </c>
      <c r="AE113" s="39">
        <f>T113+AD113-AC113</f>
        <v/>
      </c>
      <c r="AF113" s="39">
        <f>Z113*$B$14</f>
        <v/>
      </c>
      <c r="AG113" s="39">
        <f>V113-AF113</f>
        <v/>
      </c>
      <c r="AH113" s="39">
        <f>W113+Z113*$B$16-W113/$B$18</f>
        <v/>
      </c>
      <c r="AI113" s="39">
        <f>Z113*'1_Assumptions'!$B$56/365+AA113*'1_Assumptions'!$B$57/365+Z113*'1_Assumptions'!$B$54-AA113*'1_Assumptions'!$B$58/365-Z113*'1_Assumptions'!$B$55</f>
        <v/>
      </c>
      <c r="AJ113" s="39">
        <f>AB113*(1-$B$15)+AC113+AF113+IF($B$19=1,Z113*'1_Assumptions'!$E$31,0)-AD113-(AI113-X113)</f>
        <v/>
      </c>
      <c r="AK113" s="39">
        <f>Z113*(1+('1_Assumptions'!$E$14+$B113))</f>
        <v/>
      </c>
      <c r="AL113" s="39">
        <f>AK113*(1-('1_Assumptions'!$E$20+$C113))</f>
        <v/>
      </c>
      <c r="AM113" s="39">
        <f>AK113-AL113-AK113*$B$11+AK113*$B$12</f>
        <v/>
      </c>
      <c r="AN113" s="39">
        <f>AE113*$B$13</f>
        <v/>
      </c>
      <c r="AO113" s="39">
        <f>AK113*'1_Assumptions'!$E$26</f>
        <v/>
      </c>
      <c r="AP113" s="39">
        <f>AE113+AO113-AN113</f>
        <v/>
      </c>
      <c r="AQ113" s="39">
        <f>AK113*$B$14</f>
        <v/>
      </c>
      <c r="AR113" s="39">
        <f>AG113-AQ113</f>
        <v/>
      </c>
      <c r="AS113" s="39">
        <f>AH113+AK113*$B$16-AH113/$B$18</f>
        <v/>
      </c>
      <c r="AT113" s="39">
        <f>AK113*'1_Assumptions'!$B$56/365+AL113*'1_Assumptions'!$B$57/365+AK113*'1_Assumptions'!$B$54-AL113*'1_Assumptions'!$B$58/365-AK113*'1_Assumptions'!$B$55</f>
        <v/>
      </c>
      <c r="AU113" s="39">
        <f>AM113*(1-$B$15)+AN113+AQ113+IF($B$19=1,AK113*'1_Assumptions'!$E$32,0)-AO113-(AT113-AI113)</f>
        <v/>
      </c>
      <c r="AV113" s="39">
        <f>AK113*(1+('1_Assumptions'!$E$15+$B113))</f>
        <v/>
      </c>
      <c r="AW113" s="39">
        <f>AV113*(1-('1_Assumptions'!$E$21+$C113))</f>
        <v/>
      </c>
      <c r="AX113" s="39">
        <f>AV113-AW113-AV113*$B$11+AV113*$B$12</f>
        <v/>
      </c>
      <c r="AY113" s="39">
        <f>AP113*$B$13</f>
        <v/>
      </c>
      <c r="AZ113" s="39">
        <f>AV113*'1_Assumptions'!$E$27</f>
        <v/>
      </c>
      <c r="BA113" s="39">
        <f>AP113+AZ113-AY113</f>
        <v/>
      </c>
      <c r="BB113" s="39">
        <f>AV113*$B$14</f>
        <v/>
      </c>
      <c r="BC113" s="39">
        <f>AR113-BB113</f>
        <v/>
      </c>
      <c r="BD113" s="39">
        <f>AS113+AV113*$B$16-AS113/$B$18</f>
        <v/>
      </c>
      <c r="BE113" s="39">
        <f>AV113*'1_Assumptions'!$B$56/365+AW113*'1_Assumptions'!$B$57/365+AV113*'1_Assumptions'!$B$54-AW113*'1_Assumptions'!$B$58/365-AV113*'1_Assumptions'!$B$55</f>
        <v/>
      </c>
      <c r="BF113" s="39">
        <f>AX113*(1-$B$15)+AY113+BB113+IF($B$19=1,AV113*'1_Assumptions'!$E$33,0)-AZ113-(BE113-AT113)</f>
        <v/>
      </c>
      <c r="BG113" s="39">
        <f>N113/(1+$B$21)^(1-0.5*$B$23)+Y113/(1+$B$21)^(2-0.5*$B$23)+AJ113/(1+$B$21)^(3-0.5*$B$23)+AU113/(1+$B$21)^(4-0.5*$B$23)+BF113/(1+$B$21)^(5-0.5*$B$23)</f>
        <v/>
      </c>
      <c r="BH113" s="39">
        <f>BE113+BA113+BC113+$B$9+IF($B$17=1,BD113,0)</f>
        <v/>
      </c>
      <c r="BI113" s="19">
        <f>IF($B$32=2,$B$21+$B$33,IF(BH113=0,0,BL113/BH113))</f>
        <v/>
      </c>
      <c r="BJ113" s="19">
        <f>IF(BI113=0,9,$B$22/BI113)</f>
        <v/>
      </c>
      <c r="BK113" s="55">
        <f>IF(OR(BH113&lt;=0,BI113&lt;=$B$21,BJ113&gt;=1,BJ113&lt;0),1,0)</f>
        <v/>
      </c>
      <c r="BL113" s="39">
        <f>AX113*(1-$B$20)</f>
        <v/>
      </c>
      <c r="BM113" s="39">
        <f>IF(BK113=1,BL113,AX113*(1+$B$22)*(1-$B$20)*(1-BJ113))</f>
        <v/>
      </c>
      <c r="BN113" s="39">
        <f>IF(BK113=1,BL113/$B$21,BM113/($B$21-$B$22))</f>
        <v/>
      </c>
      <c r="BO113" s="39">
        <f>BN113/(1+$B$21)^(5-0.5*$B$23)</f>
        <v/>
      </c>
      <c r="BP113" s="39">
        <f>BG113+BO113</f>
        <v/>
      </c>
      <c r="BQ113" s="39">
        <f>BP113*(1+$B$21)^$B$24-N113*$B$24*(1+$B$21)^($B$24/2)</f>
        <v/>
      </c>
      <c r="BR113" s="39">
        <f>BQ113-$B$25+$B$26+$B$27</f>
        <v/>
      </c>
      <c r="BS113" s="39">
        <f>IF($B$28=1,$B$30,BR113*$B$29)</f>
        <v/>
      </c>
      <c r="BT113" s="39">
        <f>BR113-BS113</f>
        <v/>
      </c>
      <c r="BU113" s="58">
        <f>BT113/$B$31</f>
        <v/>
      </c>
    </row>
    <row r="114">
      <c r="A114" s="17" t="inlineStr">
        <is>
          <t>4-4</t>
        </is>
      </c>
      <c r="B114" s="26" t="n">
        <v>0.03</v>
      </c>
      <c r="C114" s="26" t="n">
        <v>0.02</v>
      </c>
      <c r="D114" s="39">
        <f>$B$5*(1+('1_Assumptions'!$E$11+IF('1_Assumptions'!$B$39=1,0,$B114)))</f>
        <v/>
      </c>
      <c r="E114" s="39">
        <f>D114*(1-('1_Assumptions'!$E$17+IF('1_Assumptions'!$B$39=1,0,$C114)))</f>
        <v/>
      </c>
      <c r="F114" s="39">
        <f>D114-E114-D114*$B$11+D114*$B$12</f>
        <v/>
      </c>
      <c r="G114" s="39">
        <f>$B$6*$B$13</f>
        <v/>
      </c>
      <c r="H114" s="39">
        <f>D114*'1_Assumptions'!$E$23</f>
        <v/>
      </c>
      <c r="I114" s="39">
        <f>$B$6+H114-G114</f>
        <v/>
      </c>
      <c r="J114" s="39">
        <f>D114*$B$14</f>
        <v/>
      </c>
      <c r="K114" s="39">
        <f>$B$7-J114</f>
        <v/>
      </c>
      <c r="L114" s="39">
        <f>$B$8+D114*$B$16-$B$8/$B$18</f>
        <v/>
      </c>
      <c r="M114" s="39">
        <f>D114*'1_Assumptions'!$B$56/365+E114*'1_Assumptions'!$B$57/365+D114*'1_Assumptions'!$B$54-E114*'1_Assumptions'!$B$58/365-D114*'1_Assumptions'!$B$55</f>
        <v/>
      </c>
      <c r="N114" s="39">
        <f>F114*(1-$B$15)+G114+J114+IF($B$19=1,D114*'1_Assumptions'!$E$29,0)-H114-(M114-$B$10)</f>
        <v/>
      </c>
      <c r="O114" s="39">
        <f>D114*(1+('1_Assumptions'!$E$12+$B114))</f>
        <v/>
      </c>
      <c r="P114" s="39">
        <f>O114*(1-('1_Assumptions'!$E$18+$C114))</f>
        <v/>
      </c>
      <c r="Q114" s="39">
        <f>O114-P114-O114*$B$11+O114*$B$12</f>
        <v/>
      </c>
      <c r="R114" s="39">
        <f>I114*$B$13</f>
        <v/>
      </c>
      <c r="S114" s="39">
        <f>O114*'1_Assumptions'!$E$24</f>
        <v/>
      </c>
      <c r="T114" s="39">
        <f>I114+S114-R114</f>
        <v/>
      </c>
      <c r="U114" s="39">
        <f>O114*$B$14</f>
        <v/>
      </c>
      <c r="V114" s="39">
        <f>K114-U114</f>
        <v/>
      </c>
      <c r="W114" s="39">
        <f>L114+O114*$B$16-L114/$B$18</f>
        <v/>
      </c>
      <c r="X114" s="39">
        <f>O114*'1_Assumptions'!$B$56/365+P114*'1_Assumptions'!$B$57/365+O114*'1_Assumptions'!$B$54-P114*'1_Assumptions'!$B$58/365-O114*'1_Assumptions'!$B$55</f>
        <v/>
      </c>
      <c r="Y114" s="39">
        <f>Q114*(1-$B$15)+R114+U114+IF($B$19=1,O114*'1_Assumptions'!$E$30,0)-S114-(X114-M114)</f>
        <v/>
      </c>
      <c r="Z114" s="39">
        <f>O114*(1+('1_Assumptions'!$E$13+$B114))</f>
        <v/>
      </c>
      <c r="AA114" s="39">
        <f>Z114*(1-('1_Assumptions'!$E$19+$C114))</f>
        <v/>
      </c>
      <c r="AB114" s="39">
        <f>Z114-AA114-Z114*$B$11+Z114*$B$12</f>
        <v/>
      </c>
      <c r="AC114" s="39">
        <f>T114*$B$13</f>
        <v/>
      </c>
      <c r="AD114" s="39">
        <f>Z114*'1_Assumptions'!$E$25</f>
        <v/>
      </c>
      <c r="AE114" s="39">
        <f>T114+AD114-AC114</f>
        <v/>
      </c>
      <c r="AF114" s="39">
        <f>Z114*$B$14</f>
        <v/>
      </c>
      <c r="AG114" s="39">
        <f>V114-AF114</f>
        <v/>
      </c>
      <c r="AH114" s="39">
        <f>W114+Z114*$B$16-W114/$B$18</f>
        <v/>
      </c>
      <c r="AI114" s="39">
        <f>Z114*'1_Assumptions'!$B$56/365+AA114*'1_Assumptions'!$B$57/365+Z114*'1_Assumptions'!$B$54-AA114*'1_Assumptions'!$B$58/365-Z114*'1_Assumptions'!$B$55</f>
        <v/>
      </c>
      <c r="AJ114" s="39">
        <f>AB114*(1-$B$15)+AC114+AF114+IF($B$19=1,Z114*'1_Assumptions'!$E$31,0)-AD114-(AI114-X114)</f>
        <v/>
      </c>
      <c r="AK114" s="39">
        <f>Z114*(1+('1_Assumptions'!$E$14+$B114))</f>
        <v/>
      </c>
      <c r="AL114" s="39">
        <f>AK114*(1-('1_Assumptions'!$E$20+$C114))</f>
        <v/>
      </c>
      <c r="AM114" s="39">
        <f>AK114-AL114-AK114*$B$11+AK114*$B$12</f>
        <v/>
      </c>
      <c r="AN114" s="39">
        <f>AE114*$B$13</f>
        <v/>
      </c>
      <c r="AO114" s="39">
        <f>AK114*'1_Assumptions'!$E$26</f>
        <v/>
      </c>
      <c r="AP114" s="39">
        <f>AE114+AO114-AN114</f>
        <v/>
      </c>
      <c r="AQ114" s="39">
        <f>AK114*$B$14</f>
        <v/>
      </c>
      <c r="AR114" s="39">
        <f>AG114-AQ114</f>
        <v/>
      </c>
      <c r="AS114" s="39">
        <f>AH114+AK114*$B$16-AH114/$B$18</f>
        <v/>
      </c>
      <c r="AT114" s="39">
        <f>AK114*'1_Assumptions'!$B$56/365+AL114*'1_Assumptions'!$B$57/365+AK114*'1_Assumptions'!$B$54-AL114*'1_Assumptions'!$B$58/365-AK114*'1_Assumptions'!$B$55</f>
        <v/>
      </c>
      <c r="AU114" s="39">
        <f>AM114*(1-$B$15)+AN114+AQ114+IF($B$19=1,AK114*'1_Assumptions'!$E$32,0)-AO114-(AT114-AI114)</f>
        <v/>
      </c>
      <c r="AV114" s="39">
        <f>AK114*(1+('1_Assumptions'!$E$15+$B114))</f>
        <v/>
      </c>
      <c r="AW114" s="39">
        <f>AV114*(1-('1_Assumptions'!$E$21+$C114))</f>
        <v/>
      </c>
      <c r="AX114" s="39">
        <f>AV114-AW114-AV114*$B$11+AV114*$B$12</f>
        <v/>
      </c>
      <c r="AY114" s="39">
        <f>AP114*$B$13</f>
        <v/>
      </c>
      <c r="AZ114" s="39">
        <f>AV114*'1_Assumptions'!$E$27</f>
        <v/>
      </c>
      <c r="BA114" s="39">
        <f>AP114+AZ114-AY114</f>
        <v/>
      </c>
      <c r="BB114" s="39">
        <f>AV114*$B$14</f>
        <v/>
      </c>
      <c r="BC114" s="39">
        <f>AR114-BB114</f>
        <v/>
      </c>
      <c r="BD114" s="39">
        <f>AS114+AV114*$B$16-AS114/$B$18</f>
        <v/>
      </c>
      <c r="BE114" s="39">
        <f>AV114*'1_Assumptions'!$B$56/365+AW114*'1_Assumptions'!$B$57/365+AV114*'1_Assumptions'!$B$54-AW114*'1_Assumptions'!$B$58/365-AV114*'1_Assumptions'!$B$55</f>
        <v/>
      </c>
      <c r="BF114" s="39">
        <f>AX114*(1-$B$15)+AY114+BB114+IF($B$19=1,AV114*'1_Assumptions'!$E$33,0)-AZ114-(BE114-AT114)</f>
        <v/>
      </c>
      <c r="BG114" s="39">
        <f>N114/(1+$B$21)^(1-0.5*$B$23)+Y114/(1+$B$21)^(2-0.5*$B$23)+AJ114/(1+$B$21)^(3-0.5*$B$23)+AU114/(1+$B$21)^(4-0.5*$B$23)+BF114/(1+$B$21)^(5-0.5*$B$23)</f>
        <v/>
      </c>
      <c r="BH114" s="39">
        <f>BE114+BA114+BC114+$B$9+IF($B$17=1,BD114,0)</f>
        <v/>
      </c>
      <c r="BI114" s="19">
        <f>IF($B$32=2,$B$21+$B$33,IF(BH114=0,0,BL114/BH114))</f>
        <v/>
      </c>
      <c r="BJ114" s="19">
        <f>IF(BI114=0,9,$B$22/BI114)</f>
        <v/>
      </c>
      <c r="BK114" s="55">
        <f>IF(OR(BH114&lt;=0,BI114&lt;=$B$21,BJ114&gt;=1,BJ114&lt;0),1,0)</f>
        <v/>
      </c>
      <c r="BL114" s="39">
        <f>AX114*(1-$B$20)</f>
        <v/>
      </c>
      <c r="BM114" s="39">
        <f>IF(BK114=1,BL114,AX114*(1+$B$22)*(1-$B$20)*(1-BJ114))</f>
        <v/>
      </c>
      <c r="BN114" s="39">
        <f>IF(BK114=1,BL114/$B$21,BM114/($B$21-$B$22))</f>
        <v/>
      </c>
      <c r="BO114" s="39">
        <f>BN114/(1+$B$21)^(5-0.5*$B$23)</f>
        <v/>
      </c>
      <c r="BP114" s="39">
        <f>BG114+BO114</f>
        <v/>
      </c>
      <c r="BQ114" s="39">
        <f>BP114*(1+$B$21)^$B$24-N114*$B$24*(1+$B$21)^($B$24/2)</f>
        <v/>
      </c>
      <c r="BR114" s="39">
        <f>BQ114-$B$25+$B$26+$B$27</f>
        <v/>
      </c>
      <c r="BS114" s="39">
        <f>IF($B$28=1,$B$30,BR114*$B$29)</f>
        <v/>
      </c>
      <c r="BT114" s="39">
        <f>BR114-BS114</f>
        <v/>
      </c>
      <c r="BU114" s="58">
        <f>BT114/$B$31</f>
        <v/>
      </c>
    </row>
    <row r="115">
      <c r="A115" s="17" t="inlineStr">
        <is>
          <t>4-5</t>
        </is>
      </c>
      <c r="B115" s="26" t="n">
        <v>0.03</v>
      </c>
      <c r="C115" s="26" t="n">
        <v>0.04</v>
      </c>
      <c r="D115" s="39">
        <f>$B$5*(1+('1_Assumptions'!$E$11+IF('1_Assumptions'!$B$39=1,0,$B115)))</f>
        <v/>
      </c>
      <c r="E115" s="39">
        <f>D115*(1-('1_Assumptions'!$E$17+IF('1_Assumptions'!$B$39=1,0,$C115)))</f>
        <v/>
      </c>
      <c r="F115" s="39">
        <f>D115-E115-D115*$B$11+D115*$B$12</f>
        <v/>
      </c>
      <c r="G115" s="39">
        <f>$B$6*$B$13</f>
        <v/>
      </c>
      <c r="H115" s="39">
        <f>D115*'1_Assumptions'!$E$23</f>
        <v/>
      </c>
      <c r="I115" s="39">
        <f>$B$6+H115-G115</f>
        <v/>
      </c>
      <c r="J115" s="39">
        <f>D115*$B$14</f>
        <v/>
      </c>
      <c r="K115" s="39">
        <f>$B$7-J115</f>
        <v/>
      </c>
      <c r="L115" s="39">
        <f>$B$8+D115*$B$16-$B$8/$B$18</f>
        <v/>
      </c>
      <c r="M115" s="39">
        <f>D115*'1_Assumptions'!$B$56/365+E115*'1_Assumptions'!$B$57/365+D115*'1_Assumptions'!$B$54-E115*'1_Assumptions'!$B$58/365-D115*'1_Assumptions'!$B$55</f>
        <v/>
      </c>
      <c r="N115" s="39">
        <f>F115*(1-$B$15)+G115+J115+IF($B$19=1,D115*'1_Assumptions'!$E$29,0)-H115-(M115-$B$10)</f>
        <v/>
      </c>
      <c r="O115" s="39">
        <f>D115*(1+('1_Assumptions'!$E$12+$B115))</f>
        <v/>
      </c>
      <c r="P115" s="39">
        <f>O115*(1-('1_Assumptions'!$E$18+$C115))</f>
        <v/>
      </c>
      <c r="Q115" s="39">
        <f>O115-P115-O115*$B$11+O115*$B$12</f>
        <v/>
      </c>
      <c r="R115" s="39">
        <f>I115*$B$13</f>
        <v/>
      </c>
      <c r="S115" s="39">
        <f>O115*'1_Assumptions'!$E$24</f>
        <v/>
      </c>
      <c r="T115" s="39">
        <f>I115+S115-R115</f>
        <v/>
      </c>
      <c r="U115" s="39">
        <f>O115*$B$14</f>
        <v/>
      </c>
      <c r="V115" s="39">
        <f>K115-U115</f>
        <v/>
      </c>
      <c r="W115" s="39">
        <f>L115+O115*$B$16-L115/$B$18</f>
        <v/>
      </c>
      <c r="X115" s="39">
        <f>O115*'1_Assumptions'!$B$56/365+P115*'1_Assumptions'!$B$57/365+O115*'1_Assumptions'!$B$54-P115*'1_Assumptions'!$B$58/365-O115*'1_Assumptions'!$B$55</f>
        <v/>
      </c>
      <c r="Y115" s="39">
        <f>Q115*(1-$B$15)+R115+U115+IF($B$19=1,O115*'1_Assumptions'!$E$30,0)-S115-(X115-M115)</f>
        <v/>
      </c>
      <c r="Z115" s="39">
        <f>O115*(1+('1_Assumptions'!$E$13+$B115))</f>
        <v/>
      </c>
      <c r="AA115" s="39">
        <f>Z115*(1-('1_Assumptions'!$E$19+$C115))</f>
        <v/>
      </c>
      <c r="AB115" s="39">
        <f>Z115-AA115-Z115*$B$11+Z115*$B$12</f>
        <v/>
      </c>
      <c r="AC115" s="39">
        <f>T115*$B$13</f>
        <v/>
      </c>
      <c r="AD115" s="39">
        <f>Z115*'1_Assumptions'!$E$25</f>
        <v/>
      </c>
      <c r="AE115" s="39">
        <f>T115+AD115-AC115</f>
        <v/>
      </c>
      <c r="AF115" s="39">
        <f>Z115*$B$14</f>
        <v/>
      </c>
      <c r="AG115" s="39">
        <f>V115-AF115</f>
        <v/>
      </c>
      <c r="AH115" s="39">
        <f>W115+Z115*$B$16-W115/$B$18</f>
        <v/>
      </c>
      <c r="AI115" s="39">
        <f>Z115*'1_Assumptions'!$B$56/365+AA115*'1_Assumptions'!$B$57/365+Z115*'1_Assumptions'!$B$54-AA115*'1_Assumptions'!$B$58/365-Z115*'1_Assumptions'!$B$55</f>
        <v/>
      </c>
      <c r="AJ115" s="39">
        <f>AB115*(1-$B$15)+AC115+AF115+IF($B$19=1,Z115*'1_Assumptions'!$E$31,0)-AD115-(AI115-X115)</f>
        <v/>
      </c>
      <c r="AK115" s="39">
        <f>Z115*(1+('1_Assumptions'!$E$14+$B115))</f>
        <v/>
      </c>
      <c r="AL115" s="39">
        <f>AK115*(1-('1_Assumptions'!$E$20+$C115))</f>
        <v/>
      </c>
      <c r="AM115" s="39">
        <f>AK115-AL115-AK115*$B$11+AK115*$B$12</f>
        <v/>
      </c>
      <c r="AN115" s="39">
        <f>AE115*$B$13</f>
        <v/>
      </c>
      <c r="AO115" s="39">
        <f>AK115*'1_Assumptions'!$E$26</f>
        <v/>
      </c>
      <c r="AP115" s="39">
        <f>AE115+AO115-AN115</f>
        <v/>
      </c>
      <c r="AQ115" s="39">
        <f>AK115*$B$14</f>
        <v/>
      </c>
      <c r="AR115" s="39">
        <f>AG115-AQ115</f>
        <v/>
      </c>
      <c r="AS115" s="39">
        <f>AH115+AK115*$B$16-AH115/$B$18</f>
        <v/>
      </c>
      <c r="AT115" s="39">
        <f>AK115*'1_Assumptions'!$B$56/365+AL115*'1_Assumptions'!$B$57/365+AK115*'1_Assumptions'!$B$54-AL115*'1_Assumptions'!$B$58/365-AK115*'1_Assumptions'!$B$55</f>
        <v/>
      </c>
      <c r="AU115" s="39">
        <f>AM115*(1-$B$15)+AN115+AQ115+IF($B$19=1,AK115*'1_Assumptions'!$E$32,0)-AO115-(AT115-AI115)</f>
        <v/>
      </c>
      <c r="AV115" s="39">
        <f>AK115*(1+('1_Assumptions'!$E$15+$B115))</f>
        <v/>
      </c>
      <c r="AW115" s="39">
        <f>AV115*(1-('1_Assumptions'!$E$21+$C115))</f>
        <v/>
      </c>
      <c r="AX115" s="39">
        <f>AV115-AW115-AV115*$B$11+AV115*$B$12</f>
        <v/>
      </c>
      <c r="AY115" s="39">
        <f>AP115*$B$13</f>
        <v/>
      </c>
      <c r="AZ115" s="39">
        <f>AV115*'1_Assumptions'!$E$27</f>
        <v/>
      </c>
      <c r="BA115" s="39">
        <f>AP115+AZ115-AY115</f>
        <v/>
      </c>
      <c r="BB115" s="39">
        <f>AV115*$B$14</f>
        <v/>
      </c>
      <c r="BC115" s="39">
        <f>AR115-BB115</f>
        <v/>
      </c>
      <c r="BD115" s="39">
        <f>AS115+AV115*$B$16-AS115/$B$18</f>
        <v/>
      </c>
      <c r="BE115" s="39">
        <f>AV115*'1_Assumptions'!$B$56/365+AW115*'1_Assumptions'!$B$57/365+AV115*'1_Assumptions'!$B$54-AW115*'1_Assumptions'!$B$58/365-AV115*'1_Assumptions'!$B$55</f>
        <v/>
      </c>
      <c r="BF115" s="39">
        <f>AX115*(1-$B$15)+AY115+BB115+IF($B$19=1,AV115*'1_Assumptions'!$E$33,0)-AZ115-(BE115-AT115)</f>
        <v/>
      </c>
      <c r="BG115" s="39">
        <f>N115/(1+$B$21)^(1-0.5*$B$23)+Y115/(1+$B$21)^(2-0.5*$B$23)+AJ115/(1+$B$21)^(3-0.5*$B$23)+AU115/(1+$B$21)^(4-0.5*$B$23)+BF115/(1+$B$21)^(5-0.5*$B$23)</f>
        <v/>
      </c>
      <c r="BH115" s="39">
        <f>BE115+BA115+BC115+$B$9+IF($B$17=1,BD115,0)</f>
        <v/>
      </c>
      <c r="BI115" s="19">
        <f>IF($B$32=2,$B$21+$B$33,IF(BH115=0,0,BL115/BH115))</f>
        <v/>
      </c>
      <c r="BJ115" s="19">
        <f>IF(BI115=0,9,$B$22/BI115)</f>
        <v/>
      </c>
      <c r="BK115" s="55">
        <f>IF(OR(BH115&lt;=0,BI115&lt;=$B$21,BJ115&gt;=1,BJ115&lt;0),1,0)</f>
        <v/>
      </c>
      <c r="BL115" s="39">
        <f>AX115*(1-$B$20)</f>
        <v/>
      </c>
      <c r="BM115" s="39">
        <f>IF(BK115=1,BL115,AX115*(1+$B$22)*(1-$B$20)*(1-BJ115))</f>
        <v/>
      </c>
      <c r="BN115" s="39">
        <f>IF(BK115=1,BL115/$B$21,BM115/($B$21-$B$22))</f>
        <v/>
      </c>
      <c r="BO115" s="39">
        <f>BN115/(1+$B$21)^(5-0.5*$B$23)</f>
        <v/>
      </c>
      <c r="BP115" s="39">
        <f>BG115+BO115</f>
        <v/>
      </c>
      <c r="BQ115" s="39">
        <f>BP115*(1+$B$21)^$B$24-N115*$B$24*(1+$B$21)^($B$24/2)</f>
        <v/>
      </c>
      <c r="BR115" s="39">
        <f>BQ115-$B$25+$B$26+$B$27</f>
        <v/>
      </c>
      <c r="BS115" s="39">
        <f>IF($B$28=1,$B$30,BR115*$B$29)</f>
        <v/>
      </c>
      <c r="BT115" s="39">
        <f>BR115-BS115</f>
        <v/>
      </c>
      <c r="BU115" s="58">
        <f>BT115/$B$31</f>
        <v/>
      </c>
    </row>
    <row r="116">
      <c r="A116" s="17" t="inlineStr">
        <is>
          <t>5-1</t>
        </is>
      </c>
      <c r="B116" s="26" t="n">
        <v>0.06</v>
      </c>
      <c r="C116" s="26" t="n">
        <v>-0.04</v>
      </c>
      <c r="D116" s="39">
        <f>$B$5*(1+('1_Assumptions'!$E$11+IF('1_Assumptions'!$B$39=1,0,$B116)))</f>
        <v/>
      </c>
      <c r="E116" s="39">
        <f>D116*(1-('1_Assumptions'!$E$17+IF('1_Assumptions'!$B$39=1,0,$C116)))</f>
        <v/>
      </c>
      <c r="F116" s="39">
        <f>D116-E116-D116*$B$11+D116*$B$12</f>
        <v/>
      </c>
      <c r="G116" s="39">
        <f>$B$6*$B$13</f>
        <v/>
      </c>
      <c r="H116" s="39">
        <f>D116*'1_Assumptions'!$E$23</f>
        <v/>
      </c>
      <c r="I116" s="39">
        <f>$B$6+H116-G116</f>
        <v/>
      </c>
      <c r="J116" s="39">
        <f>D116*$B$14</f>
        <v/>
      </c>
      <c r="K116" s="39">
        <f>$B$7-J116</f>
        <v/>
      </c>
      <c r="L116" s="39">
        <f>$B$8+D116*$B$16-$B$8/$B$18</f>
        <v/>
      </c>
      <c r="M116" s="39">
        <f>D116*'1_Assumptions'!$B$56/365+E116*'1_Assumptions'!$B$57/365+D116*'1_Assumptions'!$B$54-E116*'1_Assumptions'!$B$58/365-D116*'1_Assumptions'!$B$55</f>
        <v/>
      </c>
      <c r="N116" s="39">
        <f>F116*(1-$B$15)+G116+J116+IF($B$19=1,D116*'1_Assumptions'!$E$29,0)-H116-(M116-$B$10)</f>
        <v/>
      </c>
      <c r="O116" s="39">
        <f>D116*(1+('1_Assumptions'!$E$12+$B116))</f>
        <v/>
      </c>
      <c r="P116" s="39">
        <f>O116*(1-('1_Assumptions'!$E$18+$C116))</f>
        <v/>
      </c>
      <c r="Q116" s="39">
        <f>O116-P116-O116*$B$11+O116*$B$12</f>
        <v/>
      </c>
      <c r="R116" s="39">
        <f>I116*$B$13</f>
        <v/>
      </c>
      <c r="S116" s="39">
        <f>O116*'1_Assumptions'!$E$24</f>
        <v/>
      </c>
      <c r="T116" s="39">
        <f>I116+S116-R116</f>
        <v/>
      </c>
      <c r="U116" s="39">
        <f>O116*$B$14</f>
        <v/>
      </c>
      <c r="V116" s="39">
        <f>K116-U116</f>
        <v/>
      </c>
      <c r="W116" s="39">
        <f>L116+O116*$B$16-L116/$B$18</f>
        <v/>
      </c>
      <c r="X116" s="39">
        <f>O116*'1_Assumptions'!$B$56/365+P116*'1_Assumptions'!$B$57/365+O116*'1_Assumptions'!$B$54-P116*'1_Assumptions'!$B$58/365-O116*'1_Assumptions'!$B$55</f>
        <v/>
      </c>
      <c r="Y116" s="39">
        <f>Q116*(1-$B$15)+R116+U116+IF($B$19=1,O116*'1_Assumptions'!$E$30,0)-S116-(X116-M116)</f>
        <v/>
      </c>
      <c r="Z116" s="39">
        <f>O116*(1+('1_Assumptions'!$E$13+$B116))</f>
        <v/>
      </c>
      <c r="AA116" s="39">
        <f>Z116*(1-('1_Assumptions'!$E$19+$C116))</f>
        <v/>
      </c>
      <c r="AB116" s="39">
        <f>Z116-AA116-Z116*$B$11+Z116*$B$12</f>
        <v/>
      </c>
      <c r="AC116" s="39">
        <f>T116*$B$13</f>
        <v/>
      </c>
      <c r="AD116" s="39">
        <f>Z116*'1_Assumptions'!$E$25</f>
        <v/>
      </c>
      <c r="AE116" s="39">
        <f>T116+AD116-AC116</f>
        <v/>
      </c>
      <c r="AF116" s="39">
        <f>Z116*$B$14</f>
        <v/>
      </c>
      <c r="AG116" s="39">
        <f>V116-AF116</f>
        <v/>
      </c>
      <c r="AH116" s="39">
        <f>W116+Z116*$B$16-W116/$B$18</f>
        <v/>
      </c>
      <c r="AI116" s="39">
        <f>Z116*'1_Assumptions'!$B$56/365+AA116*'1_Assumptions'!$B$57/365+Z116*'1_Assumptions'!$B$54-AA116*'1_Assumptions'!$B$58/365-Z116*'1_Assumptions'!$B$55</f>
        <v/>
      </c>
      <c r="AJ116" s="39">
        <f>AB116*(1-$B$15)+AC116+AF116+IF($B$19=1,Z116*'1_Assumptions'!$E$31,0)-AD116-(AI116-X116)</f>
        <v/>
      </c>
      <c r="AK116" s="39">
        <f>Z116*(1+('1_Assumptions'!$E$14+$B116))</f>
        <v/>
      </c>
      <c r="AL116" s="39">
        <f>AK116*(1-('1_Assumptions'!$E$20+$C116))</f>
        <v/>
      </c>
      <c r="AM116" s="39">
        <f>AK116-AL116-AK116*$B$11+AK116*$B$12</f>
        <v/>
      </c>
      <c r="AN116" s="39">
        <f>AE116*$B$13</f>
        <v/>
      </c>
      <c r="AO116" s="39">
        <f>AK116*'1_Assumptions'!$E$26</f>
        <v/>
      </c>
      <c r="AP116" s="39">
        <f>AE116+AO116-AN116</f>
        <v/>
      </c>
      <c r="AQ116" s="39">
        <f>AK116*$B$14</f>
        <v/>
      </c>
      <c r="AR116" s="39">
        <f>AG116-AQ116</f>
        <v/>
      </c>
      <c r="AS116" s="39">
        <f>AH116+AK116*$B$16-AH116/$B$18</f>
        <v/>
      </c>
      <c r="AT116" s="39">
        <f>AK116*'1_Assumptions'!$B$56/365+AL116*'1_Assumptions'!$B$57/365+AK116*'1_Assumptions'!$B$54-AL116*'1_Assumptions'!$B$58/365-AK116*'1_Assumptions'!$B$55</f>
        <v/>
      </c>
      <c r="AU116" s="39">
        <f>AM116*(1-$B$15)+AN116+AQ116+IF($B$19=1,AK116*'1_Assumptions'!$E$32,0)-AO116-(AT116-AI116)</f>
        <v/>
      </c>
      <c r="AV116" s="39">
        <f>AK116*(1+('1_Assumptions'!$E$15+$B116))</f>
        <v/>
      </c>
      <c r="AW116" s="39">
        <f>AV116*(1-('1_Assumptions'!$E$21+$C116))</f>
        <v/>
      </c>
      <c r="AX116" s="39">
        <f>AV116-AW116-AV116*$B$11+AV116*$B$12</f>
        <v/>
      </c>
      <c r="AY116" s="39">
        <f>AP116*$B$13</f>
        <v/>
      </c>
      <c r="AZ116" s="39">
        <f>AV116*'1_Assumptions'!$E$27</f>
        <v/>
      </c>
      <c r="BA116" s="39">
        <f>AP116+AZ116-AY116</f>
        <v/>
      </c>
      <c r="BB116" s="39">
        <f>AV116*$B$14</f>
        <v/>
      </c>
      <c r="BC116" s="39">
        <f>AR116-BB116</f>
        <v/>
      </c>
      <c r="BD116" s="39">
        <f>AS116+AV116*$B$16-AS116/$B$18</f>
        <v/>
      </c>
      <c r="BE116" s="39">
        <f>AV116*'1_Assumptions'!$B$56/365+AW116*'1_Assumptions'!$B$57/365+AV116*'1_Assumptions'!$B$54-AW116*'1_Assumptions'!$B$58/365-AV116*'1_Assumptions'!$B$55</f>
        <v/>
      </c>
      <c r="BF116" s="39">
        <f>AX116*(1-$B$15)+AY116+BB116+IF($B$19=1,AV116*'1_Assumptions'!$E$33,0)-AZ116-(BE116-AT116)</f>
        <v/>
      </c>
      <c r="BG116" s="39">
        <f>N116/(1+$B$21)^(1-0.5*$B$23)+Y116/(1+$B$21)^(2-0.5*$B$23)+AJ116/(1+$B$21)^(3-0.5*$B$23)+AU116/(1+$B$21)^(4-0.5*$B$23)+BF116/(1+$B$21)^(5-0.5*$B$23)</f>
        <v/>
      </c>
      <c r="BH116" s="39">
        <f>BE116+BA116+BC116+$B$9+IF($B$17=1,BD116,0)</f>
        <v/>
      </c>
      <c r="BI116" s="19">
        <f>IF($B$32=2,$B$21+$B$33,IF(BH116=0,0,BL116/BH116))</f>
        <v/>
      </c>
      <c r="BJ116" s="19">
        <f>IF(BI116=0,9,$B$22/BI116)</f>
        <v/>
      </c>
      <c r="BK116" s="55">
        <f>IF(OR(BH116&lt;=0,BI116&lt;=$B$21,BJ116&gt;=1,BJ116&lt;0),1,0)</f>
        <v/>
      </c>
      <c r="BL116" s="39">
        <f>AX116*(1-$B$20)</f>
        <v/>
      </c>
      <c r="BM116" s="39">
        <f>IF(BK116=1,BL116,AX116*(1+$B$22)*(1-$B$20)*(1-BJ116))</f>
        <v/>
      </c>
      <c r="BN116" s="39">
        <f>IF(BK116=1,BL116/$B$21,BM116/($B$21-$B$22))</f>
        <v/>
      </c>
      <c r="BO116" s="39">
        <f>BN116/(1+$B$21)^(5-0.5*$B$23)</f>
        <v/>
      </c>
      <c r="BP116" s="39">
        <f>BG116+BO116</f>
        <v/>
      </c>
      <c r="BQ116" s="39">
        <f>BP116*(1+$B$21)^$B$24-N116*$B$24*(1+$B$21)^($B$24/2)</f>
        <v/>
      </c>
      <c r="BR116" s="39">
        <f>BQ116-$B$25+$B$26+$B$27</f>
        <v/>
      </c>
      <c r="BS116" s="39">
        <f>IF($B$28=1,$B$30,BR116*$B$29)</f>
        <v/>
      </c>
      <c r="BT116" s="39">
        <f>BR116-BS116</f>
        <v/>
      </c>
      <c r="BU116" s="58">
        <f>BT116/$B$31</f>
        <v/>
      </c>
    </row>
    <row r="117">
      <c r="A117" s="17" t="inlineStr">
        <is>
          <t>5-2</t>
        </is>
      </c>
      <c r="B117" s="26" t="n">
        <v>0.06</v>
      </c>
      <c r="C117" s="26" t="n">
        <v>-0.02</v>
      </c>
      <c r="D117" s="39">
        <f>$B$5*(1+('1_Assumptions'!$E$11+IF('1_Assumptions'!$B$39=1,0,$B117)))</f>
        <v/>
      </c>
      <c r="E117" s="39">
        <f>D117*(1-('1_Assumptions'!$E$17+IF('1_Assumptions'!$B$39=1,0,$C117)))</f>
        <v/>
      </c>
      <c r="F117" s="39">
        <f>D117-E117-D117*$B$11+D117*$B$12</f>
        <v/>
      </c>
      <c r="G117" s="39">
        <f>$B$6*$B$13</f>
        <v/>
      </c>
      <c r="H117" s="39">
        <f>D117*'1_Assumptions'!$E$23</f>
        <v/>
      </c>
      <c r="I117" s="39">
        <f>$B$6+H117-G117</f>
        <v/>
      </c>
      <c r="J117" s="39">
        <f>D117*$B$14</f>
        <v/>
      </c>
      <c r="K117" s="39">
        <f>$B$7-J117</f>
        <v/>
      </c>
      <c r="L117" s="39">
        <f>$B$8+D117*$B$16-$B$8/$B$18</f>
        <v/>
      </c>
      <c r="M117" s="39">
        <f>D117*'1_Assumptions'!$B$56/365+E117*'1_Assumptions'!$B$57/365+D117*'1_Assumptions'!$B$54-E117*'1_Assumptions'!$B$58/365-D117*'1_Assumptions'!$B$55</f>
        <v/>
      </c>
      <c r="N117" s="39">
        <f>F117*(1-$B$15)+G117+J117+IF($B$19=1,D117*'1_Assumptions'!$E$29,0)-H117-(M117-$B$10)</f>
        <v/>
      </c>
      <c r="O117" s="39">
        <f>D117*(1+('1_Assumptions'!$E$12+$B117))</f>
        <v/>
      </c>
      <c r="P117" s="39">
        <f>O117*(1-('1_Assumptions'!$E$18+$C117))</f>
        <v/>
      </c>
      <c r="Q117" s="39">
        <f>O117-P117-O117*$B$11+O117*$B$12</f>
        <v/>
      </c>
      <c r="R117" s="39">
        <f>I117*$B$13</f>
        <v/>
      </c>
      <c r="S117" s="39">
        <f>O117*'1_Assumptions'!$E$24</f>
        <v/>
      </c>
      <c r="T117" s="39">
        <f>I117+S117-R117</f>
        <v/>
      </c>
      <c r="U117" s="39">
        <f>O117*$B$14</f>
        <v/>
      </c>
      <c r="V117" s="39">
        <f>K117-U117</f>
        <v/>
      </c>
      <c r="W117" s="39">
        <f>L117+O117*$B$16-L117/$B$18</f>
        <v/>
      </c>
      <c r="X117" s="39">
        <f>O117*'1_Assumptions'!$B$56/365+P117*'1_Assumptions'!$B$57/365+O117*'1_Assumptions'!$B$54-P117*'1_Assumptions'!$B$58/365-O117*'1_Assumptions'!$B$55</f>
        <v/>
      </c>
      <c r="Y117" s="39">
        <f>Q117*(1-$B$15)+R117+U117+IF($B$19=1,O117*'1_Assumptions'!$E$30,0)-S117-(X117-M117)</f>
        <v/>
      </c>
      <c r="Z117" s="39">
        <f>O117*(1+('1_Assumptions'!$E$13+$B117))</f>
        <v/>
      </c>
      <c r="AA117" s="39">
        <f>Z117*(1-('1_Assumptions'!$E$19+$C117))</f>
        <v/>
      </c>
      <c r="AB117" s="39">
        <f>Z117-AA117-Z117*$B$11+Z117*$B$12</f>
        <v/>
      </c>
      <c r="AC117" s="39">
        <f>T117*$B$13</f>
        <v/>
      </c>
      <c r="AD117" s="39">
        <f>Z117*'1_Assumptions'!$E$25</f>
        <v/>
      </c>
      <c r="AE117" s="39">
        <f>T117+AD117-AC117</f>
        <v/>
      </c>
      <c r="AF117" s="39">
        <f>Z117*$B$14</f>
        <v/>
      </c>
      <c r="AG117" s="39">
        <f>V117-AF117</f>
        <v/>
      </c>
      <c r="AH117" s="39">
        <f>W117+Z117*$B$16-W117/$B$18</f>
        <v/>
      </c>
      <c r="AI117" s="39">
        <f>Z117*'1_Assumptions'!$B$56/365+AA117*'1_Assumptions'!$B$57/365+Z117*'1_Assumptions'!$B$54-AA117*'1_Assumptions'!$B$58/365-Z117*'1_Assumptions'!$B$55</f>
        <v/>
      </c>
      <c r="AJ117" s="39">
        <f>AB117*(1-$B$15)+AC117+AF117+IF($B$19=1,Z117*'1_Assumptions'!$E$31,0)-AD117-(AI117-X117)</f>
        <v/>
      </c>
      <c r="AK117" s="39">
        <f>Z117*(1+('1_Assumptions'!$E$14+$B117))</f>
        <v/>
      </c>
      <c r="AL117" s="39">
        <f>AK117*(1-('1_Assumptions'!$E$20+$C117))</f>
        <v/>
      </c>
      <c r="AM117" s="39">
        <f>AK117-AL117-AK117*$B$11+AK117*$B$12</f>
        <v/>
      </c>
      <c r="AN117" s="39">
        <f>AE117*$B$13</f>
        <v/>
      </c>
      <c r="AO117" s="39">
        <f>AK117*'1_Assumptions'!$E$26</f>
        <v/>
      </c>
      <c r="AP117" s="39">
        <f>AE117+AO117-AN117</f>
        <v/>
      </c>
      <c r="AQ117" s="39">
        <f>AK117*$B$14</f>
        <v/>
      </c>
      <c r="AR117" s="39">
        <f>AG117-AQ117</f>
        <v/>
      </c>
      <c r="AS117" s="39">
        <f>AH117+AK117*$B$16-AH117/$B$18</f>
        <v/>
      </c>
      <c r="AT117" s="39">
        <f>AK117*'1_Assumptions'!$B$56/365+AL117*'1_Assumptions'!$B$57/365+AK117*'1_Assumptions'!$B$54-AL117*'1_Assumptions'!$B$58/365-AK117*'1_Assumptions'!$B$55</f>
        <v/>
      </c>
      <c r="AU117" s="39">
        <f>AM117*(1-$B$15)+AN117+AQ117+IF($B$19=1,AK117*'1_Assumptions'!$E$32,0)-AO117-(AT117-AI117)</f>
        <v/>
      </c>
      <c r="AV117" s="39">
        <f>AK117*(1+('1_Assumptions'!$E$15+$B117))</f>
        <v/>
      </c>
      <c r="AW117" s="39">
        <f>AV117*(1-('1_Assumptions'!$E$21+$C117))</f>
        <v/>
      </c>
      <c r="AX117" s="39">
        <f>AV117-AW117-AV117*$B$11+AV117*$B$12</f>
        <v/>
      </c>
      <c r="AY117" s="39">
        <f>AP117*$B$13</f>
        <v/>
      </c>
      <c r="AZ117" s="39">
        <f>AV117*'1_Assumptions'!$E$27</f>
        <v/>
      </c>
      <c r="BA117" s="39">
        <f>AP117+AZ117-AY117</f>
        <v/>
      </c>
      <c r="BB117" s="39">
        <f>AV117*$B$14</f>
        <v/>
      </c>
      <c r="BC117" s="39">
        <f>AR117-BB117</f>
        <v/>
      </c>
      <c r="BD117" s="39">
        <f>AS117+AV117*$B$16-AS117/$B$18</f>
        <v/>
      </c>
      <c r="BE117" s="39">
        <f>AV117*'1_Assumptions'!$B$56/365+AW117*'1_Assumptions'!$B$57/365+AV117*'1_Assumptions'!$B$54-AW117*'1_Assumptions'!$B$58/365-AV117*'1_Assumptions'!$B$55</f>
        <v/>
      </c>
      <c r="BF117" s="39">
        <f>AX117*(1-$B$15)+AY117+BB117+IF($B$19=1,AV117*'1_Assumptions'!$E$33,0)-AZ117-(BE117-AT117)</f>
        <v/>
      </c>
      <c r="BG117" s="39">
        <f>N117/(1+$B$21)^(1-0.5*$B$23)+Y117/(1+$B$21)^(2-0.5*$B$23)+AJ117/(1+$B$21)^(3-0.5*$B$23)+AU117/(1+$B$21)^(4-0.5*$B$23)+BF117/(1+$B$21)^(5-0.5*$B$23)</f>
        <v/>
      </c>
      <c r="BH117" s="39">
        <f>BE117+BA117+BC117+$B$9+IF($B$17=1,BD117,0)</f>
        <v/>
      </c>
      <c r="BI117" s="19">
        <f>IF($B$32=2,$B$21+$B$33,IF(BH117=0,0,BL117/BH117))</f>
        <v/>
      </c>
      <c r="BJ117" s="19">
        <f>IF(BI117=0,9,$B$22/BI117)</f>
        <v/>
      </c>
      <c r="BK117" s="55">
        <f>IF(OR(BH117&lt;=0,BI117&lt;=$B$21,BJ117&gt;=1,BJ117&lt;0),1,0)</f>
        <v/>
      </c>
      <c r="BL117" s="39">
        <f>AX117*(1-$B$20)</f>
        <v/>
      </c>
      <c r="BM117" s="39">
        <f>IF(BK117=1,BL117,AX117*(1+$B$22)*(1-$B$20)*(1-BJ117))</f>
        <v/>
      </c>
      <c r="BN117" s="39">
        <f>IF(BK117=1,BL117/$B$21,BM117/($B$21-$B$22))</f>
        <v/>
      </c>
      <c r="BO117" s="39">
        <f>BN117/(1+$B$21)^(5-0.5*$B$23)</f>
        <v/>
      </c>
      <c r="BP117" s="39">
        <f>BG117+BO117</f>
        <v/>
      </c>
      <c r="BQ117" s="39">
        <f>BP117*(1+$B$21)^$B$24-N117*$B$24*(1+$B$21)^($B$24/2)</f>
        <v/>
      </c>
      <c r="BR117" s="39">
        <f>BQ117-$B$25+$B$26+$B$27</f>
        <v/>
      </c>
      <c r="BS117" s="39">
        <f>IF($B$28=1,$B$30,BR117*$B$29)</f>
        <v/>
      </c>
      <c r="BT117" s="39">
        <f>BR117-BS117</f>
        <v/>
      </c>
      <c r="BU117" s="58">
        <f>BT117/$B$31</f>
        <v/>
      </c>
    </row>
    <row r="118">
      <c r="A118" s="17" t="inlineStr">
        <is>
          <t>5-3</t>
        </is>
      </c>
      <c r="B118" s="26" t="n">
        <v>0.06</v>
      </c>
      <c r="C118" s="26" t="n">
        <v>0</v>
      </c>
      <c r="D118" s="39">
        <f>$B$5*(1+('1_Assumptions'!$E$11+IF('1_Assumptions'!$B$39=1,0,$B118)))</f>
        <v/>
      </c>
      <c r="E118" s="39">
        <f>D118*(1-('1_Assumptions'!$E$17+IF('1_Assumptions'!$B$39=1,0,$C118)))</f>
        <v/>
      </c>
      <c r="F118" s="39">
        <f>D118-E118-D118*$B$11+D118*$B$12</f>
        <v/>
      </c>
      <c r="G118" s="39">
        <f>$B$6*$B$13</f>
        <v/>
      </c>
      <c r="H118" s="39">
        <f>D118*'1_Assumptions'!$E$23</f>
        <v/>
      </c>
      <c r="I118" s="39">
        <f>$B$6+H118-G118</f>
        <v/>
      </c>
      <c r="J118" s="39">
        <f>D118*$B$14</f>
        <v/>
      </c>
      <c r="K118" s="39">
        <f>$B$7-J118</f>
        <v/>
      </c>
      <c r="L118" s="39">
        <f>$B$8+D118*$B$16-$B$8/$B$18</f>
        <v/>
      </c>
      <c r="M118" s="39">
        <f>D118*'1_Assumptions'!$B$56/365+E118*'1_Assumptions'!$B$57/365+D118*'1_Assumptions'!$B$54-E118*'1_Assumptions'!$B$58/365-D118*'1_Assumptions'!$B$55</f>
        <v/>
      </c>
      <c r="N118" s="39">
        <f>F118*(1-$B$15)+G118+J118+IF($B$19=1,D118*'1_Assumptions'!$E$29,0)-H118-(M118-$B$10)</f>
        <v/>
      </c>
      <c r="O118" s="39">
        <f>D118*(1+('1_Assumptions'!$E$12+$B118))</f>
        <v/>
      </c>
      <c r="P118" s="39">
        <f>O118*(1-('1_Assumptions'!$E$18+$C118))</f>
        <v/>
      </c>
      <c r="Q118" s="39">
        <f>O118-P118-O118*$B$11+O118*$B$12</f>
        <v/>
      </c>
      <c r="R118" s="39">
        <f>I118*$B$13</f>
        <v/>
      </c>
      <c r="S118" s="39">
        <f>O118*'1_Assumptions'!$E$24</f>
        <v/>
      </c>
      <c r="T118" s="39">
        <f>I118+S118-R118</f>
        <v/>
      </c>
      <c r="U118" s="39">
        <f>O118*$B$14</f>
        <v/>
      </c>
      <c r="V118" s="39">
        <f>K118-U118</f>
        <v/>
      </c>
      <c r="W118" s="39">
        <f>L118+O118*$B$16-L118/$B$18</f>
        <v/>
      </c>
      <c r="X118" s="39">
        <f>O118*'1_Assumptions'!$B$56/365+P118*'1_Assumptions'!$B$57/365+O118*'1_Assumptions'!$B$54-P118*'1_Assumptions'!$B$58/365-O118*'1_Assumptions'!$B$55</f>
        <v/>
      </c>
      <c r="Y118" s="39">
        <f>Q118*(1-$B$15)+R118+U118+IF($B$19=1,O118*'1_Assumptions'!$E$30,0)-S118-(X118-M118)</f>
        <v/>
      </c>
      <c r="Z118" s="39">
        <f>O118*(1+('1_Assumptions'!$E$13+$B118))</f>
        <v/>
      </c>
      <c r="AA118" s="39">
        <f>Z118*(1-('1_Assumptions'!$E$19+$C118))</f>
        <v/>
      </c>
      <c r="AB118" s="39">
        <f>Z118-AA118-Z118*$B$11+Z118*$B$12</f>
        <v/>
      </c>
      <c r="AC118" s="39">
        <f>T118*$B$13</f>
        <v/>
      </c>
      <c r="AD118" s="39">
        <f>Z118*'1_Assumptions'!$E$25</f>
        <v/>
      </c>
      <c r="AE118" s="39">
        <f>T118+AD118-AC118</f>
        <v/>
      </c>
      <c r="AF118" s="39">
        <f>Z118*$B$14</f>
        <v/>
      </c>
      <c r="AG118" s="39">
        <f>V118-AF118</f>
        <v/>
      </c>
      <c r="AH118" s="39">
        <f>W118+Z118*$B$16-W118/$B$18</f>
        <v/>
      </c>
      <c r="AI118" s="39">
        <f>Z118*'1_Assumptions'!$B$56/365+AA118*'1_Assumptions'!$B$57/365+Z118*'1_Assumptions'!$B$54-AA118*'1_Assumptions'!$B$58/365-Z118*'1_Assumptions'!$B$55</f>
        <v/>
      </c>
      <c r="AJ118" s="39">
        <f>AB118*(1-$B$15)+AC118+AF118+IF($B$19=1,Z118*'1_Assumptions'!$E$31,0)-AD118-(AI118-X118)</f>
        <v/>
      </c>
      <c r="AK118" s="39">
        <f>Z118*(1+('1_Assumptions'!$E$14+$B118))</f>
        <v/>
      </c>
      <c r="AL118" s="39">
        <f>AK118*(1-('1_Assumptions'!$E$20+$C118))</f>
        <v/>
      </c>
      <c r="AM118" s="39">
        <f>AK118-AL118-AK118*$B$11+AK118*$B$12</f>
        <v/>
      </c>
      <c r="AN118" s="39">
        <f>AE118*$B$13</f>
        <v/>
      </c>
      <c r="AO118" s="39">
        <f>AK118*'1_Assumptions'!$E$26</f>
        <v/>
      </c>
      <c r="AP118" s="39">
        <f>AE118+AO118-AN118</f>
        <v/>
      </c>
      <c r="AQ118" s="39">
        <f>AK118*$B$14</f>
        <v/>
      </c>
      <c r="AR118" s="39">
        <f>AG118-AQ118</f>
        <v/>
      </c>
      <c r="AS118" s="39">
        <f>AH118+AK118*$B$16-AH118/$B$18</f>
        <v/>
      </c>
      <c r="AT118" s="39">
        <f>AK118*'1_Assumptions'!$B$56/365+AL118*'1_Assumptions'!$B$57/365+AK118*'1_Assumptions'!$B$54-AL118*'1_Assumptions'!$B$58/365-AK118*'1_Assumptions'!$B$55</f>
        <v/>
      </c>
      <c r="AU118" s="39">
        <f>AM118*(1-$B$15)+AN118+AQ118+IF($B$19=1,AK118*'1_Assumptions'!$E$32,0)-AO118-(AT118-AI118)</f>
        <v/>
      </c>
      <c r="AV118" s="39">
        <f>AK118*(1+('1_Assumptions'!$E$15+$B118))</f>
        <v/>
      </c>
      <c r="AW118" s="39">
        <f>AV118*(1-('1_Assumptions'!$E$21+$C118))</f>
        <v/>
      </c>
      <c r="AX118" s="39">
        <f>AV118-AW118-AV118*$B$11+AV118*$B$12</f>
        <v/>
      </c>
      <c r="AY118" s="39">
        <f>AP118*$B$13</f>
        <v/>
      </c>
      <c r="AZ118" s="39">
        <f>AV118*'1_Assumptions'!$E$27</f>
        <v/>
      </c>
      <c r="BA118" s="39">
        <f>AP118+AZ118-AY118</f>
        <v/>
      </c>
      <c r="BB118" s="39">
        <f>AV118*$B$14</f>
        <v/>
      </c>
      <c r="BC118" s="39">
        <f>AR118-BB118</f>
        <v/>
      </c>
      <c r="BD118" s="39">
        <f>AS118+AV118*$B$16-AS118/$B$18</f>
        <v/>
      </c>
      <c r="BE118" s="39">
        <f>AV118*'1_Assumptions'!$B$56/365+AW118*'1_Assumptions'!$B$57/365+AV118*'1_Assumptions'!$B$54-AW118*'1_Assumptions'!$B$58/365-AV118*'1_Assumptions'!$B$55</f>
        <v/>
      </c>
      <c r="BF118" s="39">
        <f>AX118*(1-$B$15)+AY118+BB118+IF($B$19=1,AV118*'1_Assumptions'!$E$33,0)-AZ118-(BE118-AT118)</f>
        <v/>
      </c>
      <c r="BG118" s="39">
        <f>N118/(1+$B$21)^(1-0.5*$B$23)+Y118/(1+$B$21)^(2-0.5*$B$23)+AJ118/(1+$B$21)^(3-0.5*$B$23)+AU118/(1+$B$21)^(4-0.5*$B$23)+BF118/(1+$B$21)^(5-0.5*$B$23)</f>
        <v/>
      </c>
      <c r="BH118" s="39">
        <f>BE118+BA118+BC118+$B$9+IF($B$17=1,BD118,0)</f>
        <v/>
      </c>
      <c r="BI118" s="19">
        <f>IF($B$32=2,$B$21+$B$33,IF(BH118=0,0,BL118/BH118))</f>
        <v/>
      </c>
      <c r="BJ118" s="19">
        <f>IF(BI118=0,9,$B$22/BI118)</f>
        <v/>
      </c>
      <c r="BK118" s="55">
        <f>IF(OR(BH118&lt;=0,BI118&lt;=$B$21,BJ118&gt;=1,BJ118&lt;0),1,0)</f>
        <v/>
      </c>
      <c r="BL118" s="39">
        <f>AX118*(1-$B$20)</f>
        <v/>
      </c>
      <c r="BM118" s="39">
        <f>IF(BK118=1,BL118,AX118*(1+$B$22)*(1-$B$20)*(1-BJ118))</f>
        <v/>
      </c>
      <c r="BN118" s="39">
        <f>IF(BK118=1,BL118/$B$21,BM118/($B$21-$B$22))</f>
        <v/>
      </c>
      <c r="BO118" s="39">
        <f>BN118/(1+$B$21)^(5-0.5*$B$23)</f>
        <v/>
      </c>
      <c r="BP118" s="39">
        <f>BG118+BO118</f>
        <v/>
      </c>
      <c r="BQ118" s="39">
        <f>BP118*(1+$B$21)^$B$24-N118*$B$24*(1+$B$21)^($B$24/2)</f>
        <v/>
      </c>
      <c r="BR118" s="39">
        <f>BQ118-$B$25+$B$26+$B$27</f>
        <v/>
      </c>
      <c r="BS118" s="39">
        <f>IF($B$28=1,$B$30,BR118*$B$29)</f>
        <v/>
      </c>
      <c r="BT118" s="39">
        <f>BR118-BS118</f>
        <v/>
      </c>
      <c r="BU118" s="58">
        <f>BT118/$B$31</f>
        <v/>
      </c>
    </row>
    <row r="119">
      <c r="A119" s="17" t="inlineStr">
        <is>
          <t>5-4</t>
        </is>
      </c>
      <c r="B119" s="26" t="n">
        <v>0.06</v>
      </c>
      <c r="C119" s="26" t="n">
        <v>0.02</v>
      </c>
      <c r="D119" s="39">
        <f>$B$5*(1+('1_Assumptions'!$E$11+IF('1_Assumptions'!$B$39=1,0,$B119)))</f>
        <v/>
      </c>
      <c r="E119" s="39">
        <f>D119*(1-('1_Assumptions'!$E$17+IF('1_Assumptions'!$B$39=1,0,$C119)))</f>
        <v/>
      </c>
      <c r="F119" s="39">
        <f>D119-E119-D119*$B$11+D119*$B$12</f>
        <v/>
      </c>
      <c r="G119" s="39">
        <f>$B$6*$B$13</f>
        <v/>
      </c>
      <c r="H119" s="39">
        <f>D119*'1_Assumptions'!$E$23</f>
        <v/>
      </c>
      <c r="I119" s="39">
        <f>$B$6+H119-G119</f>
        <v/>
      </c>
      <c r="J119" s="39">
        <f>D119*$B$14</f>
        <v/>
      </c>
      <c r="K119" s="39">
        <f>$B$7-J119</f>
        <v/>
      </c>
      <c r="L119" s="39">
        <f>$B$8+D119*$B$16-$B$8/$B$18</f>
        <v/>
      </c>
      <c r="M119" s="39">
        <f>D119*'1_Assumptions'!$B$56/365+E119*'1_Assumptions'!$B$57/365+D119*'1_Assumptions'!$B$54-E119*'1_Assumptions'!$B$58/365-D119*'1_Assumptions'!$B$55</f>
        <v/>
      </c>
      <c r="N119" s="39">
        <f>F119*(1-$B$15)+G119+J119+IF($B$19=1,D119*'1_Assumptions'!$E$29,0)-H119-(M119-$B$10)</f>
        <v/>
      </c>
      <c r="O119" s="39">
        <f>D119*(1+('1_Assumptions'!$E$12+$B119))</f>
        <v/>
      </c>
      <c r="P119" s="39">
        <f>O119*(1-('1_Assumptions'!$E$18+$C119))</f>
        <v/>
      </c>
      <c r="Q119" s="39">
        <f>O119-P119-O119*$B$11+O119*$B$12</f>
        <v/>
      </c>
      <c r="R119" s="39">
        <f>I119*$B$13</f>
        <v/>
      </c>
      <c r="S119" s="39">
        <f>O119*'1_Assumptions'!$E$24</f>
        <v/>
      </c>
      <c r="T119" s="39">
        <f>I119+S119-R119</f>
        <v/>
      </c>
      <c r="U119" s="39">
        <f>O119*$B$14</f>
        <v/>
      </c>
      <c r="V119" s="39">
        <f>K119-U119</f>
        <v/>
      </c>
      <c r="W119" s="39">
        <f>L119+O119*$B$16-L119/$B$18</f>
        <v/>
      </c>
      <c r="X119" s="39">
        <f>O119*'1_Assumptions'!$B$56/365+P119*'1_Assumptions'!$B$57/365+O119*'1_Assumptions'!$B$54-P119*'1_Assumptions'!$B$58/365-O119*'1_Assumptions'!$B$55</f>
        <v/>
      </c>
      <c r="Y119" s="39">
        <f>Q119*(1-$B$15)+R119+U119+IF($B$19=1,O119*'1_Assumptions'!$E$30,0)-S119-(X119-M119)</f>
        <v/>
      </c>
      <c r="Z119" s="39">
        <f>O119*(1+('1_Assumptions'!$E$13+$B119))</f>
        <v/>
      </c>
      <c r="AA119" s="39">
        <f>Z119*(1-('1_Assumptions'!$E$19+$C119))</f>
        <v/>
      </c>
      <c r="AB119" s="39">
        <f>Z119-AA119-Z119*$B$11+Z119*$B$12</f>
        <v/>
      </c>
      <c r="AC119" s="39">
        <f>T119*$B$13</f>
        <v/>
      </c>
      <c r="AD119" s="39">
        <f>Z119*'1_Assumptions'!$E$25</f>
        <v/>
      </c>
      <c r="AE119" s="39">
        <f>T119+AD119-AC119</f>
        <v/>
      </c>
      <c r="AF119" s="39">
        <f>Z119*$B$14</f>
        <v/>
      </c>
      <c r="AG119" s="39">
        <f>V119-AF119</f>
        <v/>
      </c>
      <c r="AH119" s="39">
        <f>W119+Z119*$B$16-W119/$B$18</f>
        <v/>
      </c>
      <c r="AI119" s="39">
        <f>Z119*'1_Assumptions'!$B$56/365+AA119*'1_Assumptions'!$B$57/365+Z119*'1_Assumptions'!$B$54-AA119*'1_Assumptions'!$B$58/365-Z119*'1_Assumptions'!$B$55</f>
        <v/>
      </c>
      <c r="AJ119" s="39">
        <f>AB119*(1-$B$15)+AC119+AF119+IF($B$19=1,Z119*'1_Assumptions'!$E$31,0)-AD119-(AI119-X119)</f>
        <v/>
      </c>
      <c r="AK119" s="39">
        <f>Z119*(1+('1_Assumptions'!$E$14+$B119))</f>
        <v/>
      </c>
      <c r="AL119" s="39">
        <f>AK119*(1-('1_Assumptions'!$E$20+$C119))</f>
        <v/>
      </c>
      <c r="AM119" s="39">
        <f>AK119-AL119-AK119*$B$11+AK119*$B$12</f>
        <v/>
      </c>
      <c r="AN119" s="39">
        <f>AE119*$B$13</f>
        <v/>
      </c>
      <c r="AO119" s="39">
        <f>AK119*'1_Assumptions'!$E$26</f>
        <v/>
      </c>
      <c r="AP119" s="39">
        <f>AE119+AO119-AN119</f>
        <v/>
      </c>
      <c r="AQ119" s="39">
        <f>AK119*$B$14</f>
        <v/>
      </c>
      <c r="AR119" s="39">
        <f>AG119-AQ119</f>
        <v/>
      </c>
      <c r="AS119" s="39">
        <f>AH119+AK119*$B$16-AH119/$B$18</f>
        <v/>
      </c>
      <c r="AT119" s="39">
        <f>AK119*'1_Assumptions'!$B$56/365+AL119*'1_Assumptions'!$B$57/365+AK119*'1_Assumptions'!$B$54-AL119*'1_Assumptions'!$B$58/365-AK119*'1_Assumptions'!$B$55</f>
        <v/>
      </c>
      <c r="AU119" s="39">
        <f>AM119*(1-$B$15)+AN119+AQ119+IF($B$19=1,AK119*'1_Assumptions'!$E$32,0)-AO119-(AT119-AI119)</f>
        <v/>
      </c>
      <c r="AV119" s="39">
        <f>AK119*(1+('1_Assumptions'!$E$15+$B119))</f>
        <v/>
      </c>
      <c r="AW119" s="39">
        <f>AV119*(1-('1_Assumptions'!$E$21+$C119))</f>
        <v/>
      </c>
      <c r="AX119" s="39">
        <f>AV119-AW119-AV119*$B$11+AV119*$B$12</f>
        <v/>
      </c>
      <c r="AY119" s="39">
        <f>AP119*$B$13</f>
        <v/>
      </c>
      <c r="AZ119" s="39">
        <f>AV119*'1_Assumptions'!$E$27</f>
        <v/>
      </c>
      <c r="BA119" s="39">
        <f>AP119+AZ119-AY119</f>
        <v/>
      </c>
      <c r="BB119" s="39">
        <f>AV119*$B$14</f>
        <v/>
      </c>
      <c r="BC119" s="39">
        <f>AR119-BB119</f>
        <v/>
      </c>
      <c r="BD119" s="39">
        <f>AS119+AV119*$B$16-AS119/$B$18</f>
        <v/>
      </c>
      <c r="BE119" s="39">
        <f>AV119*'1_Assumptions'!$B$56/365+AW119*'1_Assumptions'!$B$57/365+AV119*'1_Assumptions'!$B$54-AW119*'1_Assumptions'!$B$58/365-AV119*'1_Assumptions'!$B$55</f>
        <v/>
      </c>
      <c r="BF119" s="39">
        <f>AX119*(1-$B$15)+AY119+BB119+IF($B$19=1,AV119*'1_Assumptions'!$E$33,0)-AZ119-(BE119-AT119)</f>
        <v/>
      </c>
      <c r="BG119" s="39">
        <f>N119/(1+$B$21)^(1-0.5*$B$23)+Y119/(1+$B$21)^(2-0.5*$B$23)+AJ119/(1+$B$21)^(3-0.5*$B$23)+AU119/(1+$B$21)^(4-0.5*$B$23)+BF119/(1+$B$21)^(5-0.5*$B$23)</f>
        <v/>
      </c>
      <c r="BH119" s="39">
        <f>BE119+BA119+BC119+$B$9+IF($B$17=1,BD119,0)</f>
        <v/>
      </c>
      <c r="BI119" s="19">
        <f>IF($B$32=2,$B$21+$B$33,IF(BH119=0,0,BL119/BH119))</f>
        <v/>
      </c>
      <c r="BJ119" s="19">
        <f>IF(BI119=0,9,$B$22/BI119)</f>
        <v/>
      </c>
      <c r="BK119" s="55">
        <f>IF(OR(BH119&lt;=0,BI119&lt;=$B$21,BJ119&gt;=1,BJ119&lt;0),1,0)</f>
        <v/>
      </c>
      <c r="BL119" s="39">
        <f>AX119*(1-$B$20)</f>
        <v/>
      </c>
      <c r="BM119" s="39">
        <f>IF(BK119=1,BL119,AX119*(1+$B$22)*(1-$B$20)*(1-BJ119))</f>
        <v/>
      </c>
      <c r="BN119" s="39">
        <f>IF(BK119=1,BL119/$B$21,BM119/($B$21-$B$22))</f>
        <v/>
      </c>
      <c r="BO119" s="39">
        <f>BN119/(1+$B$21)^(5-0.5*$B$23)</f>
        <v/>
      </c>
      <c r="BP119" s="39">
        <f>BG119+BO119</f>
        <v/>
      </c>
      <c r="BQ119" s="39">
        <f>BP119*(1+$B$21)^$B$24-N119*$B$24*(1+$B$21)^($B$24/2)</f>
        <v/>
      </c>
      <c r="BR119" s="39">
        <f>BQ119-$B$25+$B$26+$B$27</f>
        <v/>
      </c>
      <c r="BS119" s="39">
        <f>IF($B$28=1,$B$30,BR119*$B$29)</f>
        <v/>
      </c>
      <c r="BT119" s="39">
        <f>BR119-BS119</f>
        <v/>
      </c>
      <c r="BU119" s="58">
        <f>BT119/$B$31</f>
        <v/>
      </c>
    </row>
    <row r="120">
      <c r="A120" s="17" t="inlineStr">
        <is>
          <t>5-5</t>
        </is>
      </c>
      <c r="B120" s="26" t="n">
        <v>0.06</v>
      </c>
      <c r="C120" s="26" t="n">
        <v>0.04</v>
      </c>
      <c r="D120" s="39">
        <f>$B$5*(1+('1_Assumptions'!$E$11+IF('1_Assumptions'!$B$39=1,0,$B120)))</f>
        <v/>
      </c>
      <c r="E120" s="39">
        <f>D120*(1-('1_Assumptions'!$E$17+IF('1_Assumptions'!$B$39=1,0,$C120)))</f>
        <v/>
      </c>
      <c r="F120" s="39">
        <f>D120-E120-D120*$B$11+D120*$B$12</f>
        <v/>
      </c>
      <c r="G120" s="39">
        <f>$B$6*$B$13</f>
        <v/>
      </c>
      <c r="H120" s="39">
        <f>D120*'1_Assumptions'!$E$23</f>
        <v/>
      </c>
      <c r="I120" s="39">
        <f>$B$6+H120-G120</f>
        <v/>
      </c>
      <c r="J120" s="39">
        <f>D120*$B$14</f>
        <v/>
      </c>
      <c r="K120" s="39">
        <f>$B$7-J120</f>
        <v/>
      </c>
      <c r="L120" s="39">
        <f>$B$8+D120*$B$16-$B$8/$B$18</f>
        <v/>
      </c>
      <c r="M120" s="39">
        <f>D120*'1_Assumptions'!$B$56/365+E120*'1_Assumptions'!$B$57/365+D120*'1_Assumptions'!$B$54-E120*'1_Assumptions'!$B$58/365-D120*'1_Assumptions'!$B$55</f>
        <v/>
      </c>
      <c r="N120" s="39">
        <f>F120*(1-$B$15)+G120+J120+IF($B$19=1,D120*'1_Assumptions'!$E$29,0)-H120-(M120-$B$10)</f>
        <v/>
      </c>
      <c r="O120" s="39">
        <f>D120*(1+('1_Assumptions'!$E$12+$B120))</f>
        <v/>
      </c>
      <c r="P120" s="39">
        <f>O120*(1-('1_Assumptions'!$E$18+$C120))</f>
        <v/>
      </c>
      <c r="Q120" s="39">
        <f>O120-P120-O120*$B$11+O120*$B$12</f>
        <v/>
      </c>
      <c r="R120" s="39">
        <f>I120*$B$13</f>
        <v/>
      </c>
      <c r="S120" s="39">
        <f>O120*'1_Assumptions'!$E$24</f>
        <v/>
      </c>
      <c r="T120" s="39">
        <f>I120+S120-R120</f>
        <v/>
      </c>
      <c r="U120" s="39">
        <f>O120*$B$14</f>
        <v/>
      </c>
      <c r="V120" s="39">
        <f>K120-U120</f>
        <v/>
      </c>
      <c r="W120" s="39">
        <f>L120+O120*$B$16-L120/$B$18</f>
        <v/>
      </c>
      <c r="X120" s="39">
        <f>O120*'1_Assumptions'!$B$56/365+P120*'1_Assumptions'!$B$57/365+O120*'1_Assumptions'!$B$54-P120*'1_Assumptions'!$B$58/365-O120*'1_Assumptions'!$B$55</f>
        <v/>
      </c>
      <c r="Y120" s="39">
        <f>Q120*(1-$B$15)+R120+U120+IF($B$19=1,O120*'1_Assumptions'!$E$30,0)-S120-(X120-M120)</f>
        <v/>
      </c>
      <c r="Z120" s="39">
        <f>O120*(1+('1_Assumptions'!$E$13+$B120))</f>
        <v/>
      </c>
      <c r="AA120" s="39">
        <f>Z120*(1-('1_Assumptions'!$E$19+$C120))</f>
        <v/>
      </c>
      <c r="AB120" s="39">
        <f>Z120-AA120-Z120*$B$11+Z120*$B$12</f>
        <v/>
      </c>
      <c r="AC120" s="39">
        <f>T120*$B$13</f>
        <v/>
      </c>
      <c r="AD120" s="39">
        <f>Z120*'1_Assumptions'!$E$25</f>
        <v/>
      </c>
      <c r="AE120" s="39">
        <f>T120+AD120-AC120</f>
        <v/>
      </c>
      <c r="AF120" s="39">
        <f>Z120*$B$14</f>
        <v/>
      </c>
      <c r="AG120" s="39">
        <f>V120-AF120</f>
        <v/>
      </c>
      <c r="AH120" s="39">
        <f>W120+Z120*$B$16-W120/$B$18</f>
        <v/>
      </c>
      <c r="AI120" s="39">
        <f>Z120*'1_Assumptions'!$B$56/365+AA120*'1_Assumptions'!$B$57/365+Z120*'1_Assumptions'!$B$54-AA120*'1_Assumptions'!$B$58/365-Z120*'1_Assumptions'!$B$55</f>
        <v/>
      </c>
      <c r="AJ120" s="39">
        <f>AB120*(1-$B$15)+AC120+AF120+IF($B$19=1,Z120*'1_Assumptions'!$E$31,0)-AD120-(AI120-X120)</f>
        <v/>
      </c>
      <c r="AK120" s="39">
        <f>Z120*(1+('1_Assumptions'!$E$14+$B120))</f>
        <v/>
      </c>
      <c r="AL120" s="39">
        <f>AK120*(1-('1_Assumptions'!$E$20+$C120))</f>
        <v/>
      </c>
      <c r="AM120" s="39">
        <f>AK120-AL120-AK120*$B$11+AK120*$B$12</f>
        <v/>
      </c>
      <c r="AN120" s="39">
        <f>AE120*$B$13</f>
        <v/>
      </c>
      <c r="AO120" s="39">
        <f>AK120*'1_Assumptions'!$E$26</f>
        <v/>
      </c>
      <c r="AP120" s="39">
        <f>AE120+AO120-AN120</f>
        <v/>
      </c>
      <c r="AQ120" s="39">
        <f>AK120*$B$14</f>
        <v/>
      </c>
      <c r="AR120" s="39">
        <f>AG120-AQ120</f>
        <v/>
      </c>
      <c r="AS120" s="39">
        <f>AH120+AK120*$B$16-AH120/$B$18</f>
        <v/>
      </c>
      <c r="AT120" s="39">
        <f>AK120*'1_Assumptions'!$B$56/365+AL120*'1_Assumptions'!$B$57/365+AK120*'1_Assumptions'!$B$54-AL120*'1_Assumptions'!$B$58/365-AK120*'1_Assumptions'!$B$55</f>
        <v/>
      </c>
      <c r="AU120" s="39">
        <f>AM120*(1-$B$15)+AN120+AQ120+IF($B$19=1,AK120*'1_Assumptions'!$E$32,0)-AO120-(AT120-AI120)</f>
        <v/>
      </c>
      <c r="AV120" s="39">
        <f>AK120*(1+('1_Assumptions'!$E$15+$B120))</f>
        <v/>
      </c>
      <c r="AW120" s="39">
        <f>AV120*(1-('1_Assumptions'!$E$21+$C120))</f>
        <v/>
      </c>
      <c r="AX120" s="39">
        <f>AV120-AW120-AV120*$B$11+AV120*$B$12</f>
        <v/>
      </c>
      <c r="AY120" s="39">
        <f>AP120*$B$13</f>
        <v/>
      </c>
      <c r="AZ120" s="39">
        <f>AV120*'1_Assumptions'!$E$27</f>
        <v/>
      </c>
      <c r="BA120" s="39">
        <f>AP120+AZ120-AY120</f>
        <v/>
      </c>
      <c r="BB120" s="39">
        <f>AV120*$B$14</f>
        <v/>
      </c>
      <c r="BC120" s="39">
        <f>AR120-BB120</f>
        <v/>
      </c>
      <c r="BD120" s="39">
        <f>AS120+AV120*$B$16-AS120/$B$18</f>
        <v/>
      </c>
      <c r="BE120" s="39">
        <f>AV120*'1_Assumptions'!$B$56/365+AW120*'1_Assumptions'!$B$57/365+AV120*'1_Assumptions'!$B$54-AW120*'1_Assumptions'!$B$58/365-AV120*'1_Assumptions'!$B$55</f>
        <v/>
      </c>
      <c r="BF120" s="39">
        <f>AX120*(1-$B$15)+AY120+BB120+IF($B$19=1,AV120*'1_Assumptions'!$E$33,0)-AZ120-(BE120-AT120)</f>
        <v/>
      </c>
      <c r="BG120" s="39">
        <f>N120/(1+$B$21)^(1-0.5*$B$23)+Y120/(1+$B$21)^(2-0.5*$B$23)+AJ120/(1+$B$21)^(3-0.5*$B$23)+AU120/(1+$B$21)^(4-0.5*$B$23)+BF120/(1+$B$21)^(5-0.5*$B$23)</f>
        <v/>
      </c>
      <c r="BH120" s="39">
        <f>BE120+BA120+BC120+$B$9+IF($B$17=1,BD120,0)</f>
        <v/>
      </c>
      <c r="BI120" s="19">
        <f>IF($B$32=2,$B$21+$B$33,IF(BH120=0,0,BL120/BH120))</f>
        <v/>
      </c>
      <c r="BJ120" s="19">
        <f>IF(BI120=0,9,$B$22/BI120)</f>
        <v/>
      </c>
      <c r="BK120" s="55">
        <f>IF(OR(BH120&lt;=0,BI120&lt;=$B$21,BJ120&gt;=1,BJ120&lt;0),1,0)</f>
        <v/>
      </c>
      <c r="BL120" s="39">
        <f>AX120*(1-$B$20)</f>
        <v/>
      </c>
      <c r="BM120" s="39">
        <f>IF(BK120=1,BL120,AX120*(1+$B$22)*(1-$B$20)*(1-BJ120))</f>
        <v/>
      </c>
      <c r="BN120" s="39">
        <f>IF(BK120=1,BL120/$B$21,BM120/($B$21-$B$22))</f>
        <v/>
      </c>
      <c r="BO120" s="39">
        <f>BN120/(1+$B$21)^(5-0.5*$B$23)</f>
        <v/>
      </c>
      <c r="BP120" s="39">
        <f>BG120+BO120</f>
        <v/>
      </c>
      <c r="BQ120" s="39">
        <f>BP120*(1+$B$21)^$B$24-N120*$B$24*(1+$B$21)^($B$24/2)</f>
        <v/>
      </c>
      <c r="BR120" s="39">
        <f>BQ120-$B$25+$B$26+$B$27</f>
        <v/>
      </c>
      <c r="BS120" s="39">
        <f>IF($B$28=1,$B$30,BR120*$B$29)</f>
        <v/>
      </c>
      <c r="BT120" s="39">
        <f>BR120-BS120</f>
        <v/>
      </c>
      <c r="BU120" s="58">
        <f>BT120/$B$31</f>
        <v/>
      </c>
    </row>
    <row r="122">
      <c r="A122" s="4" t="inlineStr">
        <is>
          <t>模块 D：WACC × 毛利率平移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</row>
    <row r="123">
      <c r="A123" s="15" t="inlineStr">
        <is>
          <t>WACC 偏移直接加在生效 WACC 上，不改 Beta/ERP</t>
        </is>
      </c>
    </row>
    <row r="124">
      <c r="A124" s="10" t="inlineStr">
        <is>
          <t>场景</t>
        </is>
      </c>
      <c r="B124" s="10" t="inlineStr">
        <is>
          <t>WACC 偏移</t>
        </is>
      </c>
      <c r="C124" s="10" t="inlineStr">
        <is>
          <t>毛利率 Δ</t>
        </is>
      </c>
      <c r="D124" s="10" t="inlineStr">
        <is>
          <t>营收1</t>
        </is>
      </c>
      <c r="E124" s="10" t="inlineStr">
        <is>
          <t>成本1</t>
        </is>
      </c>
      <c r="F124" s="10" t="inlineStr">
        <is>
          <t>EBIT1</t>
        </is>
      </c>
      <c r="G124" s="10" t="inlineStr">
        <is>
          <t>折旧1</t>
        </is>
      </c>
      <c r="H124" s="10" t="inlineStr">
        <is>
          <t>资本开支1</t>
        </is>
      </c>
      <c r="I124" s="10" t="inlineStr">
        <is>
          <t>期末固资1</t>
        </is>
      </c>
      <c r="J124" s="10" t="inlineStr">
        <is>
          <t>摊销1</t>
        </is>
      </c>
      <c r="K124" s="10" t="inlineStr">
        <is>
          <t>商誉无形1</t>
        </is>
      </c>
      <c r="L124" s="10" t="inlineStr">
        <is>
          <t>研发资本1</t>
        </is>
      </c>
      <c r="M124" s="10" t="inlineStr">
        <is>
          <t>NWC1</t>
        </is>
      </c>
      <c r="N124" s="10" t="inlineStr">
        <is>
          <t>FCFF1</t>
        </is>
      </c>
      <c r="O124" s="10" t="inlineStr">
        <is>
          <t>营收2</t>
        </is>
      </c>
      <c r="P124" s="10" t="inlineStr">
        <is>
          <t>成本2</t>
        </is>
      </c>
      <c r="Q124" s="10" t="inlineStr">
        <is>
          <t>EBIT2</t>
        </is>
      </c>
      <c r="R124" s="10" t="inlineStr">
        <is>
          <t>折旧2</t>
        </is>
      </c>
      <c r="S124" s="10" t="inlineStr">
        <is>
          <t>资本开支2</t>
        </is>
      </c>
      <c r="T124" s="10" t="inlineStr">
        <is>
          <t>期末固资2</t>
        </is>
      </c>
      <c r="U124" s="10" t="inlineStr">
        <is>
          <t>摊销2</t>
        </is>
      </c>
      <c r="V124" s="10" t="inlineStr">
        <is>
          <t>商誉无形2</t>
        </is>
      </c>
      <c r="W124" s="10" t="inlineStr">
        <is>
          <t>研发资本2</t>
        </is>
      </c>
      <c r="X124" s="10" t="inlineStr">
        <is>
          <t>NWC2</t>
        </is>
      </c>
      <c r="Y124" s="10" t="inlineStr">
        <is>
          <t>FCFF2</t>
        </is>
      </c>
      <c r="Z124" s="10" t="inlineStr">
        <is>
          <t>营收3</t>
        </is>
      </c>
      <c r="AA124" s="10" t="inlineStr">
        <is>
          <t>成本3</t>
        </is>
      </c>
      <c r="AB124" s="10" t="inlineStr">
        <is>
          <t>EBIT3</t>
        </is>
      </c>
      <c r="AC124" s="10" t="inlineStr">
        <is>
          <t>折旧3</t>
        </is>
      </c>
      <c r="AD124" s="10" t="inlineStr">
        <is>
          <t>资本开支3</t>
        </is>
      </c>
      <c r="AE124" s="10" t="inlineStr">
        <is>
          <t>期末固资3</t>
        </is>
      </c>
      <c r="AF124" s="10" t="inlineStr">
        <is>
          <t>摊销3</t>
        </is>
      </c>
      <c r="AG124" s="10" t="inlineStr">
        <is>
          <t>商誉无形3</t>
        </is>
      </c>
      <c r="AH124" s="10" t="inlineStr">
        <is>
          <t>研发资本3</t>
        </is>
      </c>
      <c r="AI124" s="10" t="inlineStr">
        <is>
          <t>NWC3</t>
        </is>
      </c>
      <c r="AJ124" s="10" t="inlineStr">
        <is>
          <t>FCFF3</t>
        </is>
      </c>
      <c r="AK124" s="10" t="inlineStr">
        <is>
          <t>营收4</t>
        </is>
      </c>
      <c r="AL124" s="10" t="inlineStr">
        <is>
          <t>成本4</t>
        </is>
      </c>
      <c r="AM124" s="10" t="inlineStr">
        <is>
          <t>EBIT4</t>
        </is>
      </c>
      <c r="AN124" s="10" t="inlineStr">
        <is>
          <t>折旧4</t>
        </is>
      </c>
      <c r="AO124" s="10" t="inlineStr">
        <is>
          <t>资本开支4</t>
        </is>
      </c>
      <c r="AP124" s="10" t="inlineStr">
        <is>
          <t>期末固资4</t>
        </is>
      </c>
      <c r="AQ124" s="10" t="inlineStr">
        <is>
          <t>摊销4</t>
        </is>
      </c>
      <c r="AR124" s="10" t="inlineStr">
        <is>
          <t>商誉无形4</t>
        </is>
      </c>
      <c r="AS124" s="10" t="inlineStr">
        <is>
          <t>研发资本4</t>
        </is>
      </c>
      <c r="AT124" s="10" t="inlineStr">
        <is>
          <t>NWC4</t>
        </is>
      </c>
      <c r="AU124" s="10" t="inlineStr">
        <is>
          <t>FCFF4</t>
        </is>
      </c>
      <c r="AV124" s="10" t="inlineStr">
        <is>
          <t>营收5</t>
        </is>
      </c>
      <c r="AW124" s="10" t="inlineStr">
        <is>
          <t>成本5</t>
        </is>
      </c>
      <c r="AX124" s="10" t="inlineStr">
        <is>
          <t>EBIT5</t>
        </is>
      </c>
      <c r="AY124" s="10" t="inlineStr">
        <is>
          <t>折旧5</t>
        </is>
      </c>
      <c r="AZ124" s="10" t="inlineStr">
        <is>
          <t>资本开支5</t>
        </is>
      </c>
      <c r="BA124" s="10" t="inlineStr">
        <is>
          <t>期末固资5</t>
        </is>
      </c>
      <c r="BB124" s="10" t="inlineStr">
        <is>
          <t>摊销5</t>
        </is>
      </c>
      <c r="BC124" s="10" t="inlineStr">
        <is>
          <t>商誉无形5</t>
        </is>
      </c>
      <c r="BD124" s="10" t="inlineStr">
        <is>
          <t>研发资本5</t>
        </is>
      </c>
      <c r="BE124" s="10" t="inlineStr">
        <is>
          <t>NWC5</t>
        </is>
      </c>
      <c r="BF124" s="10" t="inlineStr">
        <is>
          <t>FCFF5</t>
        </is>
      </c>
      <c r="BG124" s="10" t="inlineStr">
        <is>
          <t>PV明确期</t>
        </is>
      </c>
      <c r="BH124" s="10" t="inlineStr">
        <is>
          <t>终值IC</t>
        </is>
      </c>
      <c r="BI124" s="10" t="inlineStr">
        <is>
          <t>终值ROIC</t>
        </is>
      </c>
      <c r="BJ124" s="10" t="inlineStr">
        <is>
          <t>再投资率</t>
        </is>
      </c>
      <c r="BK124" s="10" t="inlineStr">
        <is>
          <t>降级</t>
        </is>
      </c>
      <c r="BL124" s="10" t="inlineStr">
        <is>
          <t>终值NOPAT</t>
        </is>
      </c>
      <c r="BM124" s="10" t="inlineStr">
        <is>
          <t>终值FCFF</t>
        </is>
      </c>
      <c r="BN124" s="10" t="inlineStr">
        <is>
          <t>TV</t>
        </is>
      </c>
      <c r="BO124" s="10" t="inlineStr">
        <is>
          <t>PV(TV)</t>
        </is>
      </c>
      <c r="BP124" s="10" t="inlineStr">
        <is>
          <t>EV0</t>
        </is>
      </c>
      <c r="BQ124" s="10" t="inlineStr">
        <is>
          <t>EV</t>
        </is>
      </c>
      <c r="BR124" s="10" t="inlineStr">
        <is>
          <t>全体权益</t>
        </is>
      </c>
      <c r="BS124" s="10" t="inlineStr">
        <is>
          <t>少数股东</t>
        </is>
      </c>
      <c r="BT124" s="10" t="inlineStr">
        <is>
          <t>归母权益</t>
        </is>
      </c>
      <c r="BU124" s="10" t="inlineStr">
        <is>
          <t>每股</t>
        </is>
      </c>
    </row>
    <row r="125">
      <c r="A125" s="17" t="inlineStr">
        <is>
          <t>1-1</t>
        </is>
      </c>
      <c r="B125" s="26">
        <f>$B$21+-0.02</f>
        <v/>
      </c>
      <c r="C125" s="26" t="n">
        <v>-0.04</v>
      </c>
      <c r="D125" s="39">
        <f>$B$5*(1+'1_Assumptions'!$E$11)</f>
        <v/>
      </c>
      <c r="E125" s="39">
        <f>D125*(1-('1_Assumptions'!$E$17+IF('1_Assumptions'!$B$39=1,0,$C125)))</f>
        <v/>
      </c>
      <c r="F125" s="39">
        <f>D125-E125-D125*$B$11+D125*$B$12</f>
        <v/>
      </c>
      <c r="G125" s="39">
        <f>$B$6*$B$13</f>
        <v/>
      </c>
      <c r="H125" s="39">
        <f>D125*'1_Assumptions'!$E$23</f>
        <v/>
      </c>
      <c r="I125" s="39">
        <f>$B$6+H125-G125</f>
        <v/>
      </c>
      <c r="J125" s="39">
        <f>D125*$B$14</f>
        <v/>
      </c>
      <c r="K125" s="39">
        <f>$B$7-J125</f>
        <v/>
      </c>
      <c r="L125" s="39">
        <f>$B$8+D125*$B$16-$B$8/$B$18</f>
        <v/>
      </c>
      <c r="M125" s="39">
        <f>D125*'1_Assumptions'!$B$56/365+E125*'1_Assumptions'!$B$57/365+D125*'1_Assumptions'!$B$54-E125*'1_Assumptions'!$B$58/365-D125*'1_Assumptions'!$B$55</f>
        <v/>
      </c>
      <c r="N125" s="39">
        <f>F125*(1-$B$15)+G125+J125+IF($B$19=1,D125*'1_Assumptions'!$E$29,0)-H125-(M125-$B$10)</f>
        <v/>
      </c>
      <c r="O125" s="39">
        <f>D125*(1+'1_Assumptions'!$E$12)</f>
        <v/>
      </c>
      <c r="P125" s="39">
        <f>O125*(1-('1_Assumptions'!$E$18+$C125))</f>
        <v/>
      </c>
      <c r="Q125" s="39">
        <f>O125-P125-O125*$B$11+O125*$B$12</f>
        <v/>
      </c>
      <c r="R125" s="39">
        <f>I125*$B$13</f>
        <v/>
      </c>
      <c r="S125" s="39">
        <f>O125*'1_Assumptions'!$E$24</f>
        <v/>
      </c>
      <c r="T125" s="39">
        <f>I125+S125-R125</f>
        <v/>
      </c>
      <c r="U125" s="39">
        <f>O125*$B$14</f>
        <v/>
      </c>
      <c r="V125" s="39">
        <f>K125-U125</f>
        <v/>
      </c>
      <c r="W125" s="39">
        <f>L125+O125*$B$16-L125/$B$18</f>
        <v/>
      </c>
      <c r="X125" s="39">
        <f>O125*'1_Assumptions'!$B$56/365+P125*'1_Assumptions'!$B$57/365+O125*'1_Assumptions'!$B$54-P125*'1_Assumptions'!$B$58/365-O125*'1_Assumptions'!$B$55</f>
        <v/>
      </c>
      <c r="Y125" s="39">
        <f>Q125*(1-$B$15)+R125+U125+IF($B$19=1,O125*'1_Assumptions'!$E$30,0)-S125-(X125-M125)</f>
        <v/>
      </c>
      <c r="Z125" s="39">
        <f>O125*(1+'1_Assumptions'!$E$13)</f>
        <v/>
      </c>
      <c r="AA125" s="39">
        <f>Z125*(1-('1_Assumptions'!$E$19+$C125))</f>
        <v/>
      </c>
      <c r="AB125" s="39">
        <f>Z125-AA125-Z125*$B$11+Z125*$B$12</f>
        <v/>
      </c>
      <c r="AC125" s="39">
        <f>T125*$B$13</f>
        <v/>
      </c>
      <c r="AD125" s="39">
        <f>Z125*'1_Assumptions'!$E$25</f>
        <v/>
      </c>
      <c r="AE125" s="39">
        <f>T125+AD125-AC125</f>
        <v/>
      </c>
      <c r="AF125" s="39">
        <f>Z125*$B$14</f>
        <v/>
      </c>
      <c r="AG125" s="39">
        <f>V125-AF125</f>
        <v/>
      </c>
      <c r="AH125" s="39">
        <f>W125+Z125*$B$16-W125/$B$18</f>
        <v/>
      </c>
      <c r="AI125" s="39">
        <f>Z125*'1_Assumptions'!$B$56/365+AA125*'1_Assumptions'!$B$57/365+Z125*'1_Assumptions'!$B$54-AA125*'1_Assumptions'!$B$58/365-Z125*'1_Assumptions'!$B$55</f>
        <v/>
      </c>
      <c r="AJ125" s="39">
        <f>AB125*(1-$B$15)+AC125+AF125+IF($B$19=1,Z125*'1_Assumptions'!$E$31,0)-AD125-(AI125-X125)</f>
        <v/>
      </c>
      <c r="AK125" s="39">
        <f>Z125*(1+'1_Assumptions'!$E$14)</f>
        <v/>
      </c>
      <c r="AL125" s="39">
        <f>AK125*(1-('1_Assumptions'!$E$20+$C125))</f>
        <v/>
      </c>
      <c r="AM125" s="39">
        <f>AK125-AL125-AK125*$B$11+AK125*$B$12</f>
        <v/>
      </c>
      <c r="AN125" s="39">
        <f>AE125*$B$13</f>
        <v/>
      </c>
      <c r="AO125" s="39">
        <f>AK125*'1_Assumptions'!$E$26</f>
        <v/>
      </c>
      <c r="AP125" s="39">
        <f>AE125+AO125-AN125</f>
        <v/>
      </c>
      <c r="AQ125" s="39">
        <f>AK125*$B$14</f>
        <v/>
      </c>
      <c r="AR125" s="39">
        <f>AG125-AQ125</f>
        <v/>
      </c>
      <c r="AS125" s="39">
        <f>AH125+AK125*$B$16-AH125/$B$18</f>
        <v/>
      </c>
      <c r="AT125" s="39">
        <f>AK125*'1_Assumptions'!$B$56/365+AL125*'1_Assumptions'!$B$57/365+AK125*'1_Assumptions'!$B$54-AL125*'1_Assumptions'!$B$58/365-AK125*'1_Assumptions'!$B$55</f>
        <v/>
      </c>
      <c r="AU125" s="39">
        <f>AM125*(1-$B$15)+AN125+AQ125+IF($B$19=1,AK125*'1_Assumptions'!$E$32,0)-AO125-(AT125-AI125)</f>
        <v/>
      </c>
      <c r="AV125" s="39">
        <f>AK125*(1+'1_Assumptions'!$E$15)</f>
        <v/>
      </c>
      <c r="AW125" s="39">
        <f>AV125*(1-('1_Assumptions'!$E$21+$C125))</f>
        <v/>
      </c>
      <c r="AX125" s="39">
        <f>AV125-AW125-AV125*$B$11+AV125*$B$12</f>
        <v/>
      </c>
      <c r="AY125" s="39">
        <f>AP125*$B$13</f>
        <v/>
      </c>
      <c r="AZ125" s="39">
        <f>AV125*'1_Assumptions'!$E$27</f>
        <v/>
      </c>
      <c r="BA125" s="39">
        <f>AP125+AZ125-AY125</f>
        <v/>
      </c>
      <c r="BB125" s="39">
        <f>AV125*$B$14</f>
        <v/>
      </c>
      <c r="BC125" s="39">
        <f>AR125-BB125</f>
        <v/>
      </c>
      <c r="BD125" s="39">
        <f>AS125+AV125*$B$16-AS125/$B$18</f>
        <v/>
      </c>
      <c r="BE125" s="39">
        <f>AV125*'1_Assumptions'!$B$56/365+AW125*'1_Assumptions'!$B$57/365+AV125*'1_Assumptions'!$B$54-AW125*'1_Assumptions'!$B$58/365-AV125*'1_Assumptions'!$B$55</f>
        <v/>
      </c>
      <c r="BF125" s="39">
        <f>AX125*(1-$B$15)+AY125+BB125+IF($B$19=1,AV125*'1_Assumptions'!$E$33,0)-AZ125-(BE125-AT125)</f>
        <v/>
      </c>
      <c r="BG125" s="39">
        <f>N125/(1+$B125)^(1-0.5*$B$23)+Y125/(1+$B125)^(2-0.5*$B$23)+AJ125/(1+$B125)^(3-0.5*$B$23)+AU125/(1+$B125)^(4-0.5*$B$23)+BF125/(1+$B125)^(5-0.5*$B$23)</f>
        <v/>
      </c>
      <c r="BH125" s="39">
        <f>BE125+BA125+BC125+$B$9+IF($B$17=1,BD125,0)</f>
        <v/>
      </c>
      <c r="BI125" s="19">
        <f>IF($B$32=2,$B125+$B$33,IF(BH125=0,0,BL125/BH125))</f>
        <v/>
      </c>
      <c r="BJ125" s="19">
        <f>IF(BI125=0,9,$B$22/BI125)</f>
        <v/>
      </c>
      <c r="BK125" s="55">
        <f>IF(OR(BH125&lt;=0,BI125&lt;=$B125,BJ125&gt;=1,BJ125&lt;0),1,0)</f>
        <v/>
      </c>
      <c r="BL125" s="39">
        <f>AX125*(1-$B$20)</f>
        <v/>
      </c>
      <c r="BM125" s="39">
        <f>IF(BK125=1,BL125,AX125*(1+$B$22)*(1-$B$20)*(1-BJ125))</f>
        <v/>
      </c>
      <c r="BN125" s="39">
        <f>IF(BK125=1,BL125/$B125,BM125/($B125-$B$22))</f>
        <v/>
      </c>
      <c r="BO125" s="39">
        <f>BN125/(1+$B125)^(5-0.5*$B$23)</f>
        <v/>
      </c>
      <c r="BP125" s="39">
        <f>BG125+BO125</f>
        <v/>
      </c>
      <c r="BQ125" s="39">
        <f>BP125*(1+$B125)^$B$24-N125*$B$24*(1+$B125)^($B$24/2)</f>
        <v/>
      </c>
      <c r="BR125" s="39">
        <f>BQ125-$B$25+$B$26+$B$27</f>
        <v/>
      </c>
      <c r="BS125" s="39">
        <f>IF($B$28=1,$B$30,BR125*$B$29)</f>
        <v/>
      </c>
      <c r="BT125" s="39">
        <f>BR125-BS125</f>
        <v/>
      </c>
      <c r="BU125" s="58">
        <f>BT125/$B$31</f>
        <v/>
      </c>
    </row>
    <row r="126">
      <c r="A126" s="17" t="inlineStr">
        <is>
          <t>1-2</t>
        </is>
      </c>
      <c r="B126" s="26">
        <f>$B$21+-0.02</f>
        <v/>
      </c>
      <c r="C126" s="26" t="n">
        <v>-0.02</v>
      </c>
      <c r="D126" s="39">
        <f>$B$5*(1+'1_Assumptions'!$E$11)</f>
        <v/>
      </c>
      <c r="E126" s="39">
        <f>D126*(1-('1_Assumptions'!$E$17+IF('1_Assumptions'!$B$39=1,0,$C126)))</f>
        <v/>
      </c>
      <c r="F126" s="39">
        <f>D126-E126-D126*$B$11+D126*$B$12</f>
        <v/>
      </c>
      <c r="G126" s="39">
        <f>$B$6*$B$13</f>
        <v/>
      </c>
      <c r="H126" s="39">
        <f>D126*'1_Assumptions'!$E$23</f>
        <v/>
      </c>
      <c r="I126" s="39">
        <f>$B$6+H126-G126</f>
        <v/>
      </c>
      <c r="J126" s="39">
        <f>D126*$B$14</f>
        <v/>
      </c>
      <c r="K126" s="39">
        <f>$B$7-J126</f>
        <v/>
      </c>
      <c r="L126" s="39">
        <f>$B$8+D126*$B$16-$B$8/$B$18</f>
        <v/>
      </c>
      <c r="M126" s="39">
        <f>D126*'1_Assumptions'!$B$56/365+E126*'1_Assumptions'!$B$57/365+D126*'1_Assumptions'!$B$54-E126*'1_Assumptions'!$B$58/365-D126*'1_Assumptions'!$B$55</f>
        <v/>
      </c>
      <c r="N126" s="39">
        <f>F126*(1-$B$15)+G126+J126+IF($B$19=1,D126*'1_Assumptions'!$E$29,0)-H126-(M126-$B$10)</f>
        <v/>
      </c>
      <c r="O126" s="39">
        <f>D126*(1+'1_Assumptions'!$E$12)</f>
        <v/>
      </c>
      <c r="P126" s="39">
        <f>O126*(1-('1_Assumptions'!$E$18+$C126))</f>
        <v/>
      </c>
      <c r="Q126" s="39">
        <f>O126-P126-O126*$B$11+O126*$B$12</f>
        <v/>
      </c>
      <c r="R126" s="39">
        <f>I126*$B$13</f>
        <v/>
      </c>
      <c r="S126" s="39">
        <f>O126*'1_Assumptions'!$E$24</f>
        <v/>
      </c>
      <c r="T126" s="39">
        <f>I126+S126-R126</f>
        <v/>
      </c>
      <c r="U126" s="39">
        <f>O126*$B$14</f>
        <v/>
      </c>
      <c r="V126" s="39">
        <f>K126-U126</f>
        <v/>
      </c>
      <c r="W126" s="39">
        <f>L126+O126*$B$16-L126/$B$18</f>
        <v/>
      </c>
      <c r="X126" s="39">
        <f>O126*'1_Assumptions'!$B$56/365+P126*'1_Assumptions'!$B$57/365+O126*'1_Assumptions'!$B$54-P126*'1_Assumptions'!$B$58/365-O126*'1_Assumptions'!$B$55</f>
        <v/>
      </c>
      <c r="Y126" s="39">
        <f>Q126*(1-$B$15)+R126+U126+IF($B$19=1,O126*'1_Assumptions'!$E$30,0)-S126-(X126-M126)</f>
        <v/>
      </c>
      <c r="Z126" s="39">
        <f>O126*(1+'1_Assumptions'!$E$13)</f>
        <v/>
      </c>
      <c r="AA126" s="39">
        <f>Z126*(1-('1_Assumptions'!$E$19+$C126))</f>
        <v/>
      </c>
      <c r="AB126" s="39">
        <f>Z126-AA126-Z126*$B$11+Z126*$B$12</f>
        <v/>
      </c>
      <c r="AC126" s="39">
        <f>T126*$B$13</f>
        <v/>
      </c>
      <c r="AD126" s="39">
        <f>Z126*'1_Assumptions'!$E$25</f>
        <v/>
      </c>
      <c r="AE126" s="39">
        <f>T126+AD126-AC126</f>
        <v/>
      </c>
      <c r="AF126" s="39">
        <f>Z126*$B$14</f>
        <v/>
      </c>
      <c r="AG126" s="39">
        <f>V126-AF126</f>
        <v/>
      </c>
      <c r="AH126" s="39">
        <f>W126+Z126*$B$16-W126/$B$18</f>
        <v/>
      </c>
      <c r="AI126" s="39">
        <f>Z126*'1_Assumptions'!$B$56/365+AA126*'1_Assumptions'!$B$57/365+Z126*'1_Assumptions'!$B$54-AA126*'1_Assumptions'!$B$58/365-Z126*'1_Assumptions'!$B$55</f>
        <v/>
      </c>
      <c r="AJ126" s="39">
        <f>AB126*(1-$B$15)+AC126+AF126+IF($B$19=1,Z126*'1_Assumptions'!$E$31,0)-AD126-(AI126-X126)</f>
        <v/>
      </c>
      <c r="AK126" s="39">
        <f>Z126*(1+'1_Assumptions'!$E$14)</f>
        <v/>
      </c>
      <c r="AL126" s="39">
        <f>AK126*(1-('1_Assumptions'!$E$20+$C126))</f>
        <v/>
      </c>
      <c r="AM126" s="39">
        <f>AK126-AL126-AK126*$B$11+AK126*$B$12</f>
        <v/>
      </c>
      <c r="AN126" s="39">
        <f>AE126*$B$13</f>
        <v/>
      </c>
      <c r="AO126" s="39">
        <f>AK126*'1_Assumptions'!$E$26</f>
        <v/>
      </c>
      <c r="AP126" s="39">
        <f>AE126+AO126-AN126</f>
        <v/>
      </c>
      <c r="AQ126" s="39">
        <f>AK126*$B$14</f>
        <v/>
      </c>
      <c r="AR126" s="39">
        <f>AG126-AQ126</f>
        <v/>
      </c>
      <c r="AS126" s="39">
        <f>AH126+AK126*$B$16-AH126/$B$18</f>
        <v/>
      </c>
      <c r="AT126" s="39">
        <f>AK126*'1_Assumptions'!$B$56/365+AL126*'1_Assumptions'!$B$57/365+AK126*'1_Assumptions'!$B$54-AL126*'1_Assumptions'!$B$58/365-AK126*'1_Assumptions'!$B$55</f>
        <v/>
      </c>
      <c r="AU126" s="39">
        <f>AM126*(1-$B$15)+AN126+AQ126+IF($B$19=1,AK126*'1_Assumptions'!$E$32,0)-AO126-(AT126-AI126)</f>
        <v/>
      </c>
      <c r="AV126" s="39">
        <f>AK126*(1+'1_Assumptions'!$E$15)</f>
        <v/>
      </c>
      <c r="AW126" s="39">
        <f>AV126*(1-('1_Assumptions'!$E$21+$C126))</f>
        <v/>
      </c>
      <c r="AX126" s="39">
        <f>AV126-AW126-AV126*$B$11+AV126*$B$12</f>
        <v/>
      </c>
      <c r="AY126" s="39">
        <f>AP126*$B$13</f>
        <v/>
      </c>
      <c r="AZ126" s="39">
        <f>AV126*'1_Assumptions'!$E$27</f>
        <v/>
      </c>
      <c r="BA126" s="39">
        <f>AP126+AZ126-AY126</f>
        <v/>
      </c>
      <c r="BB126" s="39">
        <f>AV126*$B$14</f>
        <v/>
      </c>
      <c r="BC126" s="39">
        <f>AR126-BB126</f>
        <v/>
      </c>
      <c r="BD126" s="39">
        <f>AS126+AV126*$B$16-AS126/$B$18</f>
        <v/>
      </c>
      <c r="BE126" s="39">
        <f>AV126*'1_Assumptions'!$B$56/365+AW126*'1_Assumptions'!$B$57/365+AV126*'1_Assumptions'!$B$54-AW126*'1_Assumptions'!$B$58/365-AV126*'1_Assumptions'!$B$55</f>
        <v/>
      </c>
      <c r="BF126" s="39">
        <f>AX126*(1-$B$15)+AY126+BB126+IF($B$19=1,AV126*'1_Assumptions'!$E$33,0)-AZ126-(BE126-AT126)</f>
        <v/>
      </c>
      <c r="BG126" s="39">
        <f>N126/(1+$B126)^(1-0.5*$B$23)+Y126/(1+$B126)^(2-0.5*$B$23)+AJ126/(1+$B126)^(3-0.5*$B$23)+AU126/(1+$B126)^(4-0.5*$B$23)+BF126/(1+$B126)^(5-0.5*$B$23)</f>
        <v/>
      </c>
      <c r="BH126" s="39">
        <f>BE126+BA126+BC126+$B$9+IF($B$17=1,BD126,0)</f>
        <v/>
      </c>
      <c r="BI126" s="19">
        <f>IF($B$32=2,$B126+$B$33,IF(BH126=0,0,BL126/BH126))</f>
        <v/>
      </c>
      <c r="BJ126" s="19">
        <f>IF(BI126=0,9,$B$22/BI126)</f>
        <v/>
      </c>
      <c r="BK126" s="55">
        <f>IF(OR(BH126&lt;=0,BI126&lt;=$B126,BJ126&gt;=1,BJ126&lt;0),1,0)</f>
        <v/>
      </c>
      <c r="BL126" s="39">
        <f>AX126*(1-$B$20)</f>
        <v/>
      </c>
      <c r="BM126" s="39">
        <f>IF(BK126=1,BL126,AX126*(1+$B$22)*(1-$B$20)*(1-BJ126))</f>
        <v/>
      </c>
      <c r="BN126" s="39">
        <f>IF(BK126=1,BL126/$B126,BM126/($B126-$B$22))</f>
        <v/>
      </c>
      <c r="BO126" s="39">
        <f>BN126/(1+$B126)^(5-0.5*$B$23)</f>
        <v/>
      </c>
      <c r="BP126" s="39">
        <f>BG126+BO126</f>
        <v/>
      </c>
      <c r="BQ126" s="39">
        <f>BP126*(1+$B126)^$B$24-N126*$B$24*(1+$B126)^($B$24/2)</f>
        <v/>
      </c>
      <c r="BR126" s="39">
        <f>BQ126-$B$25+$B$26+$B$27</f>
        <v/>
      </c>
      <c r="BS126" s="39">
        <f>IF($B$28=1,$B$30,BR126*$B$29)</f>
        <v/>
      </c>
      <c r="BT126" s="39">
        <f>BR126-BS126</f>
        <v/>
      </c>
      <c r="BU126" s="58">
        <f>BT126/$B$31</f>
        <v/>
      </c>
    </row>
    <row r="127">
      <c r="A127" s="17" t="inlineStr">
        <is>
          <t>1-3</t>
        </is>
      </c>
      <c r="B127" s="26">
        <f>$B$21+-0.02</f>
        <v/>
      </c>
      <c r="C127" s="26" t="n">
        <v>0</v>
      </c>
      <c r="D127" s="39">
        <f>$B$5*(1+'1_Assumptions'!$E$11)</f>
        <v/>
      </c>
      <c r="E127" s="39">
        <f>D127*(1-('1_Assumptions'!$E$17+IF('1_Assumptions'!$B$39=1,0,$C127)))</f>
        <v/>
      </c>
      <c r="F127" s="39">
        <f>D127-E127-D127*$B$11+D127*$B$12</f>
        <v/>
      </c>
      <c r="G127" s="39">
        <f>$B$6*$B$13</f>
        <v/>
      </c>
      <c r="H127" s="39">
        <f>D127*'1_Assumptions'!$E$23</f>
        <v/>
      </c>
      <c r="I127" s="39">
        <f>$B$6+H127-G127</f>
        <v/>
      </c>
      <c r="J127" s="39">
        <f>D127*$B$14</f>
        <v/>
      </c>
      <c r="K127" s="39">
        <f>$B$7-J127</f>
        <v/>
      </c>
      <c r="L127" s="39">
        <f>$B$8+D127*$B$16-$B$8/$B$18</f>
        <v/>
      </c>
      <c r="M127" s="39">
        <f>D127*'1_Assumptions'!$B$56/365+E127*'1_Assumptions'!$B$57/365+D127*'1_Assumptions'!$B$54-E127*'1_Assumptions'!$B$58/365-D127*'1_Assumptions'!$B$55</f>
        <v/>
      </c>
      <c r="N127" s="39">
        <f>F127*(1-$B$15)+G127+J127+IF($B$19=1,D127*'1_Assumptions'!$E$29,0)-H127-(M127-$B$10)</f>
        <v/>
      </c>
      <c r="O127" s="39">
        <f>D127*(1+'1_Assumptions'!$E$12)</f>
        <v/>
      </c>
      <c r="P127" s="39">
        <f>O127*(1-('1_Assumptions'!$E$18+$C127))</f>
        <v/>
      </c>
      <c r="Q127" s="39">
        <f>O127-P127-O127*$B$11+O127*$B$12</f>
        <v/>
      </c>
      <c r="R127" s="39">
        <f>I127*$B$13</f>
        <v/>
      </c>
      <c r="S127" s="39">
        <f>O127*'1_Assumptions'!$E$24</f>
        <v/>
      </c>
      <c r="T127" s="39">
        <f>I127+S127-R127</f>
        <v/>
      </c>
      <c r="U127" s="39">
        <f>O127*$B$14</f>
        <v/>
      </c>
      <c r="V127" s="39">
        <f>K127-U127</f>
        <v/>
      </c>
      <c r="W127" s="39">
        <f>L127+O127*$B$16-L127/$B$18</f>
        <v/>
      </c>
      <c r="X127" s="39">
        <f>O127*'1_Assumptions'!$B$56/365+P127*'1_Assumptions'!$B$57/365+O127*'1_Assumptions'!$B$54-P127*'1_Assumptions'!$B$58/365-O127*'1_Assumptions'!$B$55</f>
        <v/>
      </c>
      <c r="Y127" s="39">
        <f>Q127*(1-$B$15)+R127+U127+IF($B$19=1,O127*'1_Assumptions'!$E$30,0)-S127-(X127-M127)</f>
        <v/>
      </c>
      <c r="Z127" s="39">
        <f>O127*(1+'1_Assumptions'!$E$13)</f>
        <v/>
      </c>
      <c r="AA127" s="39">
        <f>Z127*(1-('1_Assumptions'!$E$19+$C127))</f>
        <v/>
      </c>
      <c r="AB127" s="39">
        <f>Z127-AA127-Z127*$B$11+Z127*$B$12</f>
        <v/>
      </c>
      <c r="AC127" s="39">
        <f>T127*$B$13</f>
        <v/>
      </c>
      <c r="AD127" s="39">
        <f>Z127*'1_Assumptions'!$E$25</f>
        <v/>
      </c>
      <c r="AE127" s="39">
        <f>T127+AD127-AC127</f>
        <v/>
      </c>
      <c r="AF127" s="39">
        <f>Z127*$B$14</f>
        <v/>
      </c>
      <c r="AG127" s="39">
        <f>V127-AF127</f>
        <v/>
      </c>
      <c r="AH127" s="39">
        <f>W127+Z127*$B$16-W127/$B$18</f>
        <v/>
      </c>
      <c r="AI127" s="39">
        <f>Z127*'1_Assumptions'!$B$56/365+AA127*'1_Assumptions'!$B$57/365+Z127*'1_Assumptions'!$B$54-AA127*'1_Assumptions'!$B$58/365-Z127*'1_Assumptions'!$B$55</f>
        <v/>
      </c>
      <c r="AJ127" s="39">
        <f>AB127*(1-$B$15)+AC127+AF127+IF($B$19=1,Z127*'1_Assumptions'!$E$31,0)-AD127-(AI127-X127)</f>
        <v/>
      </c>
      <c r="AK127" s="39">
        <f>Z127*(1+'1_Assumptions'!$E$14)</f>
        <v/>
      </c>
      <c r="AL127" s="39">
        <f>AK127*(1-('1_Assumptions'!$E$20+$C127))</f>
        <v/>
      </c>
      <c r="AM127" s="39">
        <f>AK127-AL127-AK127*$B$11+AK127*$B$12</f>
        <v/>
      </c>
      <c r="AN127" s="39">
        <f>AE127*$B$13</f>
        <v/>
      </c>
      <c r="AO127" s="39">
        <f>AK127*'1_Assumptions'!$E$26</f>
        <v/>
      </c>
      <c r="AP127" s="39">
        <f>AE127+AO127-AN127</f>
        <v/>
      </c>
      <c r="AQ127" s="39">
        <f>AK127*$B$14</f>
        <v/>
      </c>
      <c r="AR127" s="39">
        <f>AG127-AQ127</f>
        <v/>
      </c>
      <c r="AS127" s="39">
        <f>AH127+AK127*$B$16-AH127/$B$18</f>
        <v/>
      </c>
      <c r="AT127" s="39">
        <f>AK127*'1_Assumptions'!$B$56/365+AL127*'1_Assumptions'!$B$57/365+AK127*'1_Assumptions'!$B$54-AL127*'1_Assumptions'!$B$58/365-AK127*'1_Assumptions'!$B$55</f>
        <v/>
      </c>
      <c r="AU127" s="39">
        <f>AM127*(1-$B$15)+AN127+AQ127+IF($B$19=1,AK127*'1_Assumptions'!$E$32,0)-AO127-(AT127-AI127)</f>
        <v/>
      </c>
      <c r="AV127" s="39">
        <f>AK127*(1+'1_Assumptions'!$E$15)</f>
        <v/>
      </c>
      <c r="AW127" s="39">
        <f>AV127*(1-('1_Assumptions'!$E$21+$C127))</f>
        <v/>
      </c>
      <c r="AX127" s="39">
        <f>AV127-AW127-AV127*$B$11+AV127*$B$12</f>
        <v/>
      </c>
      <c r="AY127" s="39">
        <f>AP127*$B$13</f>
        <v/>
      </c>
      <c r="AZ127" s="39">
        <f>AV127*'1_Assumptions'!$E$27</f>
        <v/>
      </c>
      <c r="BA127" s="39">
        <f>AP127+AZ127-AY127</f>
        <v/>
      </c>
      <c r="BB127" s="39">
        <f>AV127*$B$14</f>
        <v/>
      </c>
      <c r="BC127" s="39">
        <f>AR127-BB127</f>
        <v/>
      </c>
      <c r="BD127" s="39">
        <f>AS127+AV127*$B$16-AS127/$B$18</f>
        <v/>
      </c>
      <c r="BE127" s="39">
        <f>AV127*'1_Assumptions'!$B$56/365+AW127*'1_Assumptions'!$B$57/365+AV127*'1_Assumptions'!$B$54-AW127*'1_Assumptions'!$B$58/365-AV127*'1_Assumptions'!$B$55</f>
        <v/>
      </c>
      <c r="BF127" s="39">
        <f>AX127*(1-$B$15)+AY127+BB127+IF($B$19=1,AV127*'1_Assumptions'!$E$33,0)-AZ127-(BE127-AT127)</f>
        <v/>
      </c>
      <c r="BG127" s="39">
        <f>N127/(1+$B127)^(1-0.5*$B$23)+Y127/(1+$B127)^(2-0.5*$B$23)+AJ127/(1+$B127)^(3-0.5*$B$23)+AU127/(1+$B127)^(4-0.5*$B$23)+BF127/(1+$B127)^(5-0.5*$B$23)</f>
        <v/>
      </c>
      <c r="BH127" s="39">
        <f>BE127+BA127+BC127+$B$9+IF($B$17=1,BD127,0)</f>
        <v/>
      </c>
      <c r="BI127" s="19">
        <f>IF($B$32=2,$B127+$B$33,IF(BH127=0,0,BL127/BH127))</f>
        <v/>
      </c>
      <c r="BJ127" s="19">
        <f>IF(BI127=0,9,$B$22/BI127)</f>
        <v/>
      </c>
      <c r="BK127" s="55">
        <f>IF(OR(BH127&lt;=0,BI127&lt;=$B127,BJ127&gt;=1,BJ127&lt;0),1,0)</f>
        <v/>
      </c>
      <c r="BL127" s="39">
        <f>AX127*(1-$B$20)</f>
        <v/>
      </c>
      <c r="BM127" s="39">
        <f>IF(BK127=1,BL127,AX127*(1+$B$22)*(1-$B$20)*(1-BJ127))</f>
        <v/>
      </c>
      <c r="BN127" s="39">
        <f>IF(BK127=1,BL127/$B127,BM127/($B127-$B$22))</f>
        <v/>
      </c>
      <c r="BO127" s="39">
        <f>BN127/(1+$B127)^(5-0.5*$B$23)</f>
        <v/>
      </c>
      <c r="BP127" s="39">
        <f>BG127+BO127</f>
        <v/>
      </c>
      <c r="BQ127" s="39">
        <f>BP127*(1+$B127)^$B$24-N127*$B$24*(1+$B127)^($B$24/2)</f>
        <v/>
      </c>
      <c r="BR127" s="39">
        <f>BQ127-$B$25+$B$26+$B$27</f>
        <v/>
      </c>
      <c r="BS127" s="39">
        <f>IF($B$28=1,$B$30,BR127*$B$29)</f>
        <v/>
      </c>
      <c r="BT127" s="39">
        <f>BR127-BS127</f>
        <v/>
      </c>
      <c r="BU127" s="58">
        <f>BT127/$B$31</f>
        <v/>
      </c>
    </row>
    <row r="128">
      <c r="A128" s="17" t="inlineStr">
        <is>
          <t>1-4</t>
        </is>
      </c>
      <c r="B128" s="26">
        <f>$B$21+-0.02</f>
        <v/>
      </c>
      <c r="C128" s="26" t="n">
        <v>0.02</v>
      </c>
      <c r="D128" s="39">
        <f>$B$5*(1+'1_Assumptions'!$E$11)</f>
        <v/>
      </c>
      <c r="E128" s="39">
        <f>D128*(1-('1_Assumptions'!$E$17+IF('1_Assumptions'!$B$39=1,0,$C128)))</f>
        <v/>
      </c>
      <c r="F128" s="39">
        <f>D128-E128-D128*$B$11+D128*$B$12</f>
        <v/>
      </c>
      <c r="G128" s="39">
        <f>$B$6*$B$13</f>
        <v/>
      </c>
      <c r="H128" s="39">
        <f>D128*'1_Assumptions'!$E$23</f>
        <v/>
      </c>
      <c r="I128" s="39">
        <f>$B$6+H128-G128</f>
        <v/>
      </c>
      <c r="J128" s="39">
        <f>D128*$B$14</f>
        <v/>
      </c>
      <c r="K128" s="39">
        <f>$B$7-J128</f>
        <v/>
      </c>
      <c r="L128" s="39">
        <f>$B$8+D128*$B$16-$B$8/$B$18</f>
        <v/>
      </c>
      <c r="M128" s="39">
        <f>D128*'1_Assumptions'!$B$56/365+E128*'1_Assumptions'!$B$57/365+D128*'1_Assumptions'!$B$54-E128*'1_Assumptions'!$B$58/365-D128*'1_Assumptions'!$B$55</f>
        <v/>
      </c>
      <c r="N128" s="39">
        <f>F128*(1-$B$15)+G128+J128+IF($B$19=1,D128*'1_Assumptions'!$E$29,0)-H128-(M128-$B$10)</f>
        <v/>
      </c>
      <c r="O128" s="39">
        <f>D128*(1+'1_Assumptions'!$E$12)</f>
        <v/>
      </c>
      <c r="P128" s="39">
        <f>O128*(1-('1_Assumptions'!$E$18+$C128))</f>
        <v/>
      </c>
      <c r="Q128" s="39">
        <f>O128-P128-O128*$B$11+O128*$B$12</f>
        <v/>
      </c>
      <c r="R128" s="39">
        <f>I128*$B$13</f>
        <v/>
      </c>
      <c r="S128" s="39">
        <f>O128*'1_Assumptions'!$E$24</f>
        <v/>
      </c>
      <c r="T128" s="39">
        <f>I128+S128-R128</f>
        <v/>
      </c>
      <c r="U128" s="39">
        <f>O128*$B$14</f>
        <v/>
      </c>
      <c r="V128" s="39">
        <f>K128-U128</f>
        <v/>
      </c>
      <c r="W128" s="39">
        <f>L128+O128*$B$16-L128/$B$18</f>
        <v/>
      </c>
      <c r="X128" s="39">
        <f>O128*'1_Assumptions'!$B$56/365+P128*'1_Assumptions'!$B$57/365+O128*'1_Assumptions'!$B$54-P128*'1_Assumptions'!$B$58/365-O128*'1_Assumptions'!$B$55</f>
        <v/>
      </c>
      <c r="Y128" s="39">
        <f>Q128*(1-$B$15)+R128+U128+IF($B$19=1,O128*'1_Assumptions'!$E$30,0)-S128-(X128-M128)</f>
        <v/>
      </c>
      <c r="Z128" s="39">
        <f>O128*(1+'1_Assumptions'!$E$13)</f>
        <v/>
      </c>
      <c r="AA128" s="39">
        <f>Z128*(1-('1_Assumptions'!$E$19+$C128))</f>
        <v/>
      </c>
      <c r="AB128" s="39">
        <f>Z128-AA128-Z128*$B$11+Z128*$B$12</f>
        <v/>
      </c>
      <c r="AC128" s="39">
        <f>T128*$B$13</f>
        <v/>
      </c>
      <c r="AD128" s="39">
        <f>Z128*'1_Assumptions'!$E$25</f>
        <v/>
      </c>
      <c r="AE128" s="39">
        <f>T128+AD128-AC128</f>
        <v/>
      </c>
      <c r="AF128" s="39">
        <f>Z128*$B$14</f>
        <v/>
      </c>
      <c r="AG128" s="39">
        <f>V128-AF128</f>
        <v/>
      </c>
      <c r="AH128" s="39">
        <f>W128+Z128*$B$16-W128/$B$18</f>
        <v/>
      </c>
      <c r="AI128" s="39">
        <f>Z128*'1_Assumptions'!$B$56/365+AA128*'1_Assumptions'!$B$57/365+Z128*'1_Assumptions'!$B$54-AA128*'1_Assumptions'!$B$58/365-Z128*'1_Assumptions'!$B$55</f>
        <v/>
      </c>
      <c r="AJ128" s="39">
        <f>AB128*(1-$B$15)+AC128+AF128+IF($B$19=1,Z128*'1_Assumptions'!$E$31,0)-AD128-(AI128-X128)</f>
        <v/>
      </c>
      <c r="AK128" s="39">
        <f>Z128*(1+'1_Assumptions'!$E$14)</f>
        <v/>
      </c>
      <c r="AL128" s="39">
        <f>AK128*(1-('1_Assumptions'!$E$20+$C128))</f>
        <v/>
      </c>
      <c r="AM128" s="39">
        <f>AK128-AL128-AK128*$B$11+AK128*$B$12</f>
        <v/>
      </c>
      <c r="AN128" s="39">
        <f>AE128*$B$13</f>
        <v/>
      </c>
      <c r="AO128" s="39">
        <f>AK128*'1_Assumptions'!$E$26</f>
        <v/>
      </c>
      <c r="AP128" s="39">
        <f>AE128+AO128-AN128</f>
        <v/>
      </c>
      <c r="AQ128" s="39">
        <f>AK128*$B$14</f>
        <v/>
      </c>
      <c r="AR128" s="39">
        <f>AG128-AQ128</f>
        <v/>
      </c>
      <c r="AS128" s="39">
        <f>AH128+AK128*$B$16-AH128/$B$18</f>
        <v/>
      </c>
      <c r="AT128" s="39">
        <f>AK128*'1_Assumptions'!$B$56/365+AL128*'1_Assumptions'!$B$57/365+AK128*'1_Assumptions'!$B$54-AL128*'1_Assumptions'!$B$58/365-AK128*'1_Assumptions'!$B$55</f>
        <v/>
      </c>
      <c r="AU128" s="39">
        <f>AM128*(1-$B$15)+AN128+AQ128+IF($B$19=1,AK128*'1_Assumptions'!$E$32,0)-AO128-(AT128-AI128)</f>
        <v/>
      </c>
      <c r="AV128" s="39">
        <f>AK128*(1+'1_Assumptions'!$E$15)</f>
        <v/>
      </c>
      <c r="AW128" s="39">
        <f>AV128*(1-('1_Assumptions'!$E$21+$C128))</f>
        <v/>
      </c>
      <c r="AX128" s="39">
        <f>AV128-AW128-AV128*$B$11+AV128*$B$12</f>
        <v/>
      </c>
      <c r="AY128" s="39">
        <f>AP128*$B$13</f>
        <v/>
      </c>
      <c r="AZ128" s="39">
        <f>AV128*'1_Assumptions'!$E$27</f>
        <v/>
      </c>
      <c r="BA128" s="39">
        <f>AP128+AZ128-AY128</f>
        <v/>
      </c>
      <c r="BB128" s="39">
        <f>AV128*$B$14</f>
        <v/>
      </c>
      <c r="BC128" s="39">
        <f>AR128-BB128</f>
        <v/>
      </c>
      <c r="BD128" s="39">
        <f>AS128+AV128*$B$16-AS128/$B$18</f>
        <v/>
      </c>
      <c r="BE128" s="39">
        <f>AV128*'1_Assumptions'!$B$56/365+AW128*'1_Assumptions'!$B$57/365+AV128*'1_Assumptions'!$B$54-AW128*'1_Assumptions'!$B$58/365-AV128*'1_Assumptions'!$B$55</f>
        <v/>
      </c>
      <c r="BF128" s="39">
        <f>AX128*(1-$B$15)+AY128+BB128+IF($B$19=1,AV128*'1_Assumptions'!$E$33,0)-AZ128-(BE128-AT128)</f>
        <v/>
      </c>
      <c r="BG128" s="39">
        <f>N128/(1+$B128)^(1-0.5*$B$23)+Y128/(1+$B128)^(2-0.5*$B$23)+AJ128/(1+$B128)^(3-0.5*$B$23)+AU128/(1+$B128)^(4-0.5*$B$23)+BF128/(1+$B128)^(5-0.5*$B$23)</f>
        <v/>
      </c>
      <c r="BH128" s="39">
        <f>BE128+BA128+BC128+$B$9+IF($B$17=1,BD128,0)</f>
        <v/>
      </c>
      <c r="BI128" s="19">
        <f>IF($B$32=2,$B128+$B$33,IF(BH128=0,0,BL128/BH128))</f>
        <v/>
      </c>
      <c r="BJ128" s="19">
        <f>IF(BI128=0,9,$B$22/BI128)</f>
        <v/>
      </c>
      <c r="BK128" s="55">
        <f>IF(OR(BH128&lt;=0,BI128&lt;=$B128,BJ128&gt;=1,BJ128&lt;0),1,0)</f>
        <v/>
      </c>
      <c r="BL128" s="39">
        <f>AX128*(1-$B$20)</f>
        <v/>
      </c>
      <c r="BM128" s="39">
        <f>IF(BK128=1,BL128,AX128*(1+$B$22)*(1-$B$20)*(1-BJ128))</f>
        <v/>
      </c>
      <c r="BN128" s="39">
        <f>IF(BK128=1,BL128/$B128,BM128/($B128-$B$22))</f>
        <v/>
      </c>
      <c r="BO128" s="39">
        <f>BN128/(1+$B128)^(5-0.5*$B$23)</f>
        <v/>
      </c>
      <c r="BP128" s="39">
        <f>BG128+BO128</f>
        <v/>
      </c>
      <c r="BQ128" s="39">
        <f>BP128*(1+$B128)^$B$24-N128*$B$24*(1+$B128)^($B$24/2)</f>
        <v/>
      </c>
      <c r="BR128" s="39">
        <f>BQ128-$B$25+$B$26+$B$27</f>
        <v/>
      </c>
      <c r="BS128" s="39">
        <f>IF($B$28=1,$B$30,BR128*$B$29)</f>
        <v/>
      </c>
      <c r="BT128" s="39">
        <f>BR128-BS128</f>
        <v/>
      </c>
      <c r="BU128" s="58">
        <f>BT128/$B$31</f>
        <v/>
      </c>
    </row>
    <row r="129">
      <c r="A129" s="17" t="inlineStr">
        <is>
          <t>1-5</t>
        </is>
      </c>
      <c r="B129" s="26">
        <f>$B$21+-0.02</f>
        <v/>
      </c>
      <c r="C129" s="26" t="n">
        <v>0.04</v>
      </c>
      <c r="D129" s="39">
        <f>$B$5*(1+'1_Assumptions'!$E$11)</f>
        <v/>
      </c>
      <c r="E129" s="39">
        <f>D129*(1-('1_Assumptions'!$E$17+IF('1_Assumptions'!$B$39=1,0,$C129)))</f>
        <v/>
      </c>
      <c r="F129" s="39">
        <f>D129-E129-D129*$B$11+D129*$B$12</f>
        <v/>
      </c>
      <c r="G129" s="39">
        <f>$B$6*$B$13</f>
        <v/>
      </c>
      <c r="H129" s="39">
        <f>D129*'1_Assumptions'!$E$23</f>
        <v/>
      </c>
      <c r="I129" s="39">
        <f>$B$6+H129-G129</f>
        <v/>
      </c>
      <c r="J129" s="39">
        <f>D129*$B$14</f>
        <v/>
      </c>
      <c r="K129" s="39">
        <f>$B$7-J129</f>
        <v/>
      </c>
      <c r="L129" s="39">
        <f>$B$8+D129*$B$16-$B$8/$B$18</f>
        <v/>
      </c>
      <c r="M129" s="39">
        <f>D129*'1_Assumptions'!$B$56/365+E129*'1_Assumptions'!$B$57/365+D129*'1_Assumptions'!$B$54-E129*'1_Assumptions'!$B$58/365-D129*'1_Assumptions'!$B$55</f>
        <v/>
      </c>
      <c r="N129" s="39">
        <f>F129*(1-$B$15)+G129+J129+IF($B$19=1,D129*'1_Assumptions'!$E$29,0)-H129-(M129-$B$10)</f>
        <v/>
      </c>
      <c r="O129" s="39">
        <f>D129*(1+'1_Assumptions'!$E$12)</f>
        <v/>
      </c>
      <c r="P129" s="39">
        <f>O129*(1-('1_Assumptions'!$E$18+$C129))</f>
        <v/>
      </c>
      <c r="Q129" s="39">
        <f>O129-P129-O129*$B$11+O129*$B$12</f>
        <v/>
      </c>
      <c r="R129" s="39">
        <f>I129*$B$13</f>
        <v/>
      </c>
      <c r="S129" s="39">
        <f>O129*'1_Assumptions'!$E$24</f>
        <v/>
      </c>
      <c r="T129" s="39">
        <f>I129+S129-R129</f>
        <v/>
      </c>
      <c r="U129" s="39">
        <f>O129*$B$14</f>
        <v/>
      </c>
      <c r="V129" s="39">
        <f>K129-U129</f>
        <v/>
      </c>
      <c r="W129" s="39">
        <f>L129+O129*$B$16-L129/$B$18</f>
        <v/>
      </c>
      <c r="X129" s="39">
        <f>O129*'1_Assumptions'!$B$56/365+P129*'1_Assumptions'!$B$57/365+O129*'1_Assumptions'!$B$54-P129*'1_Assumptions'!$B$58/365-O129*'1_Assumptions'!$B$55</f>
        <v/>
      </c>
      <c r="Y129" s="39">
        <f>Q129*(1-$B$15)+R129+U129+IF($B$19=1,O129*'1_Assumptions'!$E$30,0)-S129-(X129-M129)</f>
        <v/>
      </c>
      <c r="Z129" s="39">
        <f>O129*(1+'1_Assumptions'!$E$13)</f>
        <v/>
      </c>
      <c r="AA129" s="39">
        <f>Z129*(1-('1_Assumptions'!$E$19+$C129))</f>
        <v/>
      </c>
      <c r="AB129" s="39">
        <f>Z129-AA129-Z129*$B$11+Z129*$B$12</f>
        <v/>
      </c>
      <c r="AC129" s="39">
        <f>T129*$B$13</f>
        <v/>
      </c>
      <c r="AD129" s="39">
        <f>Z129*'1_Assumptions'!$E$25</f>
        <v/>
      </c>
      <c r="AE129" s="39">
        <f>T129+AD129-AC129</f>
        <v/>
      </c>
      <c r="AF129" s="39">
        <f>Z129*$B$14</f>
        <v/>
      </c>
      <c r="AG129" s="39">
        <f>V129-AF129</f>
        <v/>
      </c>
      <c r="AH129" s="39">
        <f>W129+Z129*$B$16-W129/$B$18</f>
        <v/>
      </c>
      <c r="AI129" s="39">
        <f>Z129*'1_Assumptions'!$B$56/365+AA129*'1_Assumptions'!$B$57/365+Z129*'1_Assumptions'!$B$54-AA129*'1_Assumptions'!$B$58/365-Z129*'1_Assumptions'!$B$55</f>
        <v/>
      </c>
      <c r="AJ129" s="39">
        <f>AB129*(1-$B$15)+AC129+AF129+IF($B$19=1,Z129*'1_Assumptions'!$E$31,0)-AD129-(AI129-X129)</f>
        <v/>
      </c>
      <c r="AK129" s="39">
        <f>Z129*(1+'1_Assumptions'!$E$14)</f>
        <v/>
      </c>
      <c r="AL129" s="39">
        <f>AK129*(1-('1_Assumptions'!$E$20+$C129))</f>
        <v/>
      </c>
      <c r="AM129" s="39">
        <f>AK129-AL129-AK129*$B$11+AK129*$B$12</f>
        <v/>
      </c>
      <c r="AN129" s="39">
        <f>AE129*$B$13</f>
        <v/>
      </c>
      <c r="AO129" s="39">
        <f>AK129*'1_Assumptions'!$E$26</f>
        <v/>
      </c>
      <c r="AP129" s="39">
        <f>AE129+AO129-AN129</f>
        <v/>
      </c>
      <c r="AQ129" s="39">
        <f>AK129*$B$14</f>
        <v/>
      </c>
      <c r="AR129" s="39">
        <f>AG129-AQ129</f>
        <v/>
      </c>
      <c r="AS129" s="39">
        <f>AH129+AK129*$B$16-AH129/$B$18</f>
        <v/>
      </c>
      <c r="AT129" s="39">
        <f>AK129*'1_Assumptions'!$B$56/365+AL129*'1_Assumptions'!$B$57/365+AK129*'1_Assumptions'!$B$54-AL129*'1_Assumptions'!$B$58/365-AK129*'1_Assumptions'!$B$55</f>
        <v/>
      </c>
      <c r="AU129" s="39">
        <f>AM129*(1-$B$15)+AN129+AQ129+IF($B$19=1,AK129*'1_Assumptions'!$E$32,0)-AO129-(AT129-AI129)</f>
        <v/>
      </c>
      <c r="AV129" s="39">
        <f>AK129*(1+'1_Assumptions'!$E$15)</f>
        <v/>
      </c>
      <c r="AW129" s="39">
        <f>AV129*(1-('1_Assumptions'!$E$21+$C129))</f>
        <v/>
      </c>
      <c r="AX129" s="39">
        <f>AV129-AW129-AV129*$B$11+AV129*$B$12</f>
        <v/>
      </c>
      <c r="AY129" s="39">
        <f>AP129*$B$13</f>
        <v/>
      </c>
      <c r="AZ129" s="39">
        <f>AV129*'1_Assumptions'!$E$27</f>
        <v/>
      </c>
      <c r="BA129" s="39">
        <f>AP129+AZ129-AY129</f>
        <v/>
      </c>
      <c r="BB129" s="39">
        <f>AV129*$B$14</f>
        <v/>
      </c>
      <c r="BC129" s="39">
        <f>AR129-BB129</f>
        <v/>
      </c>
      <c r="BD129" s="39">
        <f>AS129+AV129*$B$16-AS129/$B$18</f>
        <v/>
      </c>
      <c r="BE129" s="39">
        <f>AV129*'1_Assumptions'!$B$56/365+AW129*'1_Assumptions'!$B$57/365+AV129*'1_Assumptions'!$B$54-AW129*'1_Assumptions'!$B$58/365-AV129*'1_Assumptions'!$B$55</f>
        <v/>
      </c>
      <c r="BF129" s="39">
        <f>AX129*(1-$B$15)+AY129+BB129+IF($B$19=1,AV129*'1_Assumptions'!$E$33,0)-AZ129-(BE129-AT129)</f>
        <v/>
      </c>
      <c r="BG129" s="39">
        <f>N129/(1+$B129)^(1-0.5*$B$23)+Y129/(1+$B129)^(2-0.5*$B$23)+AJ129/(1+$B129)^(3-0.5*$B$23)+AU129/(1+$B129)^(4-0.5*$B$23)+BF129/(1+$B129)^(5-0.5*$B$23)</f>
        <v/>
      </c>
      <c r="BH129" s="39">
        <f>BE129+BA129+BC129+$B$9+IF($B$17=1,BD129,0)</f>
        <v/>
      </c>
      <c r="BI129" s="19">
        <f>IF($B$32=2,$B129+$B$33,IF(BH129=0,0,BL129/BH129))</f>
        <v/>
      </c>
      <c r="BJ129" s="19">
        <f>IF(BI129=0,9,$B$22/BI129)</f>
        <v/>
      </c>
      <c r="BK129" s="55">
        <f>IF(OR(BH129&lt;=0,BI129&lt;=$B129,BJ129&gt;=1,BJ129&lt;0),1,0)</f>
        <v/>
      </c>
      <c r="BL129" s="39">
        <f>AX129*(1-$B$20)</f>
        <v/>
      </c>
      <c r="BM129" s="39">
        <f>IF(BK129=1,BL129,AX129*(1+$B$22)*(1-$B$20)*(1-BJ129))</f>
        <v/>
      </c>
      <c r="BN129" s="39">
        <f>IF(BK129=1,BL129/$B129,BM129/($B129-$B$22))</f>
        <v/>
      </c>
      <c r="BO129" s="39">
        <f>BN129/(1+$B129)^(5-0.5*$B$23)</f>
        <v/>
      </c>
      <c r="BP129" s="39">
        <f>BG129+BO129</f>
        <v/>
      </c>
      <c r="BQ129" s="39">
        <f>BP129*(1+$B129)^$B$24-N129*$B$24*(1+$B129)^($B$24/2)</f>
        <v/>
      </c>
      <c r="BR129" s="39">
        <f>BQ129-$B$25+$B$26+$B$27</f>
        <v/>
      </c>
      <c r="BS129" s="39">
        <f>IF($B$28=1,$B$30,BR129*$B$29)</f>
        <v/>
      </c>
      <c r="BT129" s="39">
        <f>BR129-BS129</f>
        <v/>
      </c>
      <c r="BU129" s="58">
        <f>BT129/$B$31</f>
        <v/>
      </c>
    </row>
    <row r="130">
      <c r="A130" s="17" t="inlineStr">
        <is>
          <t>2-1</t>
        </is>
      </c>
      <c r="B130" s="26">
        <f>$B$21+-0.01</f>
        <v/>
      </c>
      <c r="C130" s="26" t="n">
        <v>-0.04</v>
      </c>
      <c r="D130" s="39">
        <f>$B$5*(1+'1_Assumptions'!$E$11)</f>
        <v/>
      </c>
      <c r="E130" s="39">
        <f>D130*(1-('1_Assumptions'!$E$17+IF('1_Assumptions'!$B$39=1,0,$C130)))</f>
        <v/>
      </c>
      <c r="F130" s="39">
        <f>D130-E130-D130*$B$11+D130*$B$12</f>
        <v/>
      </c>
      <c r="G130" s="39">
        <f>$B$6*$B$13</f>
        <v/>
      </c>
      <c r="H130" s="39">
        <f>D130*'1_Assumptions'!$E$23</f>
        <v/>
      </c>
      <c r="I130" s="39">
        <f>$B$6+H130-G130</f>
        <v/>
      </c>
      <c r="J130" s="39">
        <f>D130*$B$14</f>
        <v/>
      </c>
      <c r="K130" s="39">
        <f>$B$7-J130</f>
        <v/>
      </c>
      <c r="L130" s="39">
        <f>$B$8+D130*$B$16-$B$8/$B$18</f>
        <v/>
      </c>
      <c r="M130" s="39">
        <f>D130*'1_Assumptions'!$B$56/365+E130*'1_Assumptions'!$B$57/365+D130*'1_Assumptions'!$B$54-E130*'1_Assumptions'!$B$58/365-D130*'1_Assumptions'!$B$55</f>
        <v/>
      </c>
      <c r="N130" s="39">
        <f>F130*(1-$B$15)+G130+J130+IF($B$19=1,D130*'1_Assumptions'!$E$29,0)-H130-(M130-$B$10)</f>
        <v/>
      </c>
      <c r="O130" s="39">
        <f>D130*(1+'1_Assumptions'!$E$12)</f>
        <v/>
      </c>
      <c r="P130" s="39">
        <f>O130*(1-('1_Assumptions'!$E$18+$C130))</f>
        <v/>
      </c>
      <c r="Q130" s="39">
        <f>O130-P130-O130*$B$11+O130*$B$12</f>
        <v/>
      </c>
      <c r="R130" s="39">
        <f>I130*$B$13</f>
        <v/>
      </c>
      <c r="S130" s="39">
        <f>O130*'1_Assumptions'!$E$24</f>
        <v/>
      </c>
      <c r="T130" s="39">
        <f>I130+S130-R130</f>
        <v/>
      </c>
      <c r="U130" s="39">
        <f>O130*$B$14</f>
        <v/>
      </c>
      <c r="V130" s="39">
        <f>K130-U130</f>
        <v/>
      </c>
      <c r="W130" s="39">
        <f>L130+O130*$B$16-L130/$B$18</f>
        <v/>
      </c>
      <c r="X130" s="39">
        <f>O130*'1_Assumptions'!$B$56/365+P130*'1_Assumptions'!$B$57/365+O130*'1_Assumptions'!$B$54-P130*'1_Assumptions'!$B$58/365-O130*'1_Assumptions'!$B$55</f>
        <v/>
      </c>
      <c r="Y130" s="39">
        <f>Q130*(1-$B$15)+R130+U130+IF($B$19=1,O130*'1_Assumptions'!$E$30,0)-S130-(X130-M130)</f>
        <v/>
      </c>
      <c r="Z130" s="39">
        <f>O130*(1+'1_Assumptions'!$E$13)</f>
        <v/>
      </c>
      <c r="AA130" s="39">
        <f>Z130*(1-('1_Assumptions'!$E$19+$C130))</f>
        <v/>
      </c>
      <c r="AB130" s="39">
        <f>Z130-AA130-Z130*$B$11+Z130*$B$12</f>
        <v/>
      </c>
      <c r="AC130" s="39">
        <f>T130*$B$13</f>
        <v/>
      </c>
      <c r="AD130" s="39">
        <f>Z130*'1_Assumptions'!$E$25</f>
        <v/>
      </c>
      <c r="AE130" s="39">
        <f>T130+AD130-AC130</f>
        <v/>
      </c>
      <c r="AF130" s="39">
        <f>Z130*$B$14</f>
        <v/>
      </c>
      <c r="AG130" s="39">
        <f>V130-AF130</f>
        <v/>
      </c>
      <c r="AH130" s="39">
        <f>W130+Z130*$B$16-W130/$B$18</f>
        <v/>
      </c>
      <c r="AI130" s="39">
        <f>Z130*'1_Assumptions'!$B$56/365+AA130*'1_Assumptions'!$B$57/365+Z130*'1_Assumptions'!$B$54-AA130*'1_Assumptions'!$B$58/365-Z130*'1_Assumptions'!$B$55</f>
        <v/>
      </c>
      <c r="AJ130" s="39">
        <f>AB130*(1-$B$15)+AC130+AF130+IF($B$19=1,Z130*'1_Assumptions'!$E$31,0)-AD130-(AI130-X130)</f>
        <v/>
      </c>
      <c r="AK130" s="39">
        <f>Z130*(1+'1_Assumptions'!$E$14)</f>
        <v/>
      </c>
      <c r="AL130" s="39">
        <f>AK130*(1-('1_Assumptions'!$E$20+$C130))</f>
        <v/>
      </c>
      <c r="AM130" s="39">
        <f>AK130-AL130-AK130*$B$11+AK130*$B$12</f>
        <v/>
      </c>
      <c r="AN130" s="39">
        <f>AE130*$B$13</f>
        <v/>
      </c>
      <c r="AO130" s="39">
        <f>AK130*'1_Assumptions'!$E$26</f>
        <v/>
      </c>
      <c r="AP130" s="39">
        <f>AE130+AO130-AN130</f>
        <v/>
      </c>
      <c r="AQ130" s="39">
        <f>AK130*$B$14</f>
        <v/>
      </c>
      <c r="AR130" s="39">
        <f>AG130-AQ130</f>
        <v/>
      </c>
      <c r="AS130" s="39">
        <f>AH130+AK130*$B$16-AH130/$B$18</f>
        <v/>
      </c>
      <c r="AT130" s="39">
        <f>AK130*'1_Assumptions'!$B$56/365+AL130*'1_Assumptions'!$B$57/365+AK130*'1_Assumptions'!$B$54-AL130*'1_Assumptions'!$B$58/365-AK130*'1_Assumptions'!$B$55</f>
        <v/>
      </c>
      <c r="AU130" s="39">
        <f>AM130*(1-$B$15)+AN130+AQ130+IF($B$19=1,AK130*'1_Assumptions'!$E$32,0)-AO130-(AT130-AI130)</f>
        <v/>
      </c>
      <c r="AV130" s="39">
        <f>AK130*(1+'1_Assumptions'!$E$15)</f>
        <v/>
      </c>
      <c r="AW130" s="39">
        <f>AV130*(1-('1_Assumptions'!$E$21+$C130))</f>
        <v/>
      </c>
      <c r="AX130" s="39">
        <f>AV130-AW130-AV130*$B$11+AV130*$B$12</f>
        <v/>
      </c>
      <c r="AY130" s="39">
        <f>AP130*$B$13</f>
        <v/>
      </c>
      <c r="AZ130" s="39">
        <f>AV130*'1_Assumptions'!$E$27</f>
        <v/>
      </c>
      <c r="BA130" s="39">
        <f>AP130+AZ130-AY130</f>
        <v/>
      </c>
      <c r="BB130" s="39">
        <f>AV130*$B$14</f>
        <v/>
      </c>
      <c r="BC130" s="39">
        <f>AR130-BB130</f>
        <v/>
      </c>
      <c r="BD130" s="39">
        <f>AS130+AV130*$B$16-AS130/$B$18</f>
        <v/>
      </c>
      <c r="BE130" s="39">
        <f>AV130*'1_Assumptions'!$B$56/365+AW130*'1_Assumptions'!$B$57/365+AV130*'1_Assumptions'!$B$54-AW130*'1_Assumptions'!$B$58/365-AV130*'1_Assumptions'!$B$55</f>
        <v/>
      </c>
      <c r="BF130" s="39">
        <f>AX130*(1-$B$15)+AY130+BB130+IF($B$19=1,AV130*'1_Assumptions'!$E$33,0)-AZ130-(BE130-AT130)</f>
        <v/>
      </c>
      <c r="BG130" s="39">
        <f>N130/(1+$B130)^(1-0.5*$B$23)+Y130/(1+$B130)^(2-0.5*$B$23)+AJ130/(1+$B130)^(3-0.5*$B$23)+AU130/(1+$B130)^(4-0.5*$B$23)+BF130/(1+$B130)^(5-0.5*$B$23)</f>
        <v/>
      </c>
      <c r="BH130" s="39">
        <f>BE130+BA130+BC130+$B$9+IF($B$17=1,BD130,0)</f>
        <v/>
      </c>
      <c r="BI130" s="19">
        <f>IF($B$32=2,$B130+$B$33,IF(BH130=0,0,BL130/BH130))</f>
        <v/>
      </c>
      <c r="BJ130" s="19">
        <f>IF(BI130=0,9,$B$22/BI130)</f>
        <v/>
      </c>
      <c r="BK130" s="55">
        <f>IF(OR(BH130&lt;=0,BI130&lt;=$B130,BJ130&gt;=1,BJ130&lt;0),1,0)</f>
        <v/>
      </c>
      <c r="BL130" s="39">
        <f>AX130*(1-$B$20)</f>
        <v/>
      </c>
      <c r="BM130" s="39">
        <f>IF(BK130=1,BL130,AX130*(1+$B$22)*(1-$B$20)*(1-BJ130))</f>
        <v/>
      </c>
      <c r="BN130" s="39">
        <f>IF(BK130=1,BL130/$B130,BM130/($B130-$B$22))</f>
        <v/>
      </c>
      <c r="BO130" s="39">
        <f>BN130/(1+$B130)^(5-0.5*$B$23)</f>
        <v/>
      </c>
      <c r="BP130" s="39">
        <f>BG130+BO130</f>
        <v/>
      </c>
      <c r="BQ130" s="39">
        <f>BP130*(1+$B130)^$B$24-N130*$B$24*(1+$B130)^($B$24/2)</f>
        <v/>
      </c>
      <c r="BR130" s="39">
        <f>BQ130-$B$25+$B$26+$B$27</f>
        <v/>
      </c>
      <c r="BS130" s="39">
        <f>IF($B$28=1,$B$30,BR130*$B$29)</f>
        <v/>
      </c>
      <c r="BT130" s="39">
        <f>BR130-BS130</f>
        <v/>
      </c>
      <c r="BU130" s="58">
        <f>BT130/$B$31</f>
        <v/>
      </c>
    </row>
    <row r="131">
      <c r="A131" s="17" t="inlineStr">
        <is>
          <t>2-2</t>
        </is>
      </c>
      <c r="B131" s="26">
        <f>$B$21+-0.01</f>
        <v/>
      </c>
      <c r="C131" s="26" t="n">
        <v>-0.02</v>
      </c>
      <c r="D131" s="39">
        <f>$B$5*(1+'1_Assumptions'!$E$11)</f>
        <v/>
      </c>
      <c r="E131" s="39">
        <f>D131*(1-('1_Assumptions'!$E$17+IF('1_Assumptions'!$B$39=1,0,$C131)))</f>
        <v/>
      </c>
      <c r="F131" s="39">
        <f>D131-E131-D131*$B$11+D131*$B$12</f>
        <v/>
      </c>
      <c r="G131" s="39">
        <f>$B$6*$B$13</f>
        <v/>
      </c>
      <c r="H131" s="39">
        <f>D131*'1_Assumptions'!$E$23</f>
        <v/>
      </c>
      <c r="I131" s="39">
        <f>$B$6+H131-G131</f>
        <v/>
      </c>
      <c r="J131" s="39">
        <f>D131*$B$14</f>
        <v/>
      </c>
      <c r="K131" s="39">
        <f>$B$7-J131</f>
        <v/>
      </c>
      <c r="L131" s="39">
        <f>$B$8+D131*$B$16-$B$8/$B$18</f>
        <v/>
      </c>
      <c r="M131" s="39">
        <f>D131*'1_Assumptions'!$B$56/365+E131*'1_Assumptions'!$B$57/365+D131*'1_Assumptions'!$B$54-E131*'1_Assumptions'!$B$58/365-D131*'1_Assumptions'!$B$55</f>
        <v/>
      </c>
      <c r="N131" s="39">
        <f>F131*(1-$B$15)+G131+J131+IF($B$19=1,D131*'1_Assumptions'!$E$29,0)-H131-(M131-$B$10)</f>
        <v/>
      </c>
      <c r="O131" s="39">
        <f>D131*(1+'1_Assumptions'!$E$12)</f>
        <v/>
      </c>
      <c r="P131" s="39">
        <f>O131*(1-('1_Assumptions'!$E$18+$C131))</f>
        <v/>
      </c>
      <c r="Q131" s="39">
        <f>O131-P131-O131*$B$11+O131*$B$12</f>
        <v/>
      </c>
      <c r="R131" s="39">
        <f>I131*$B$13</f>
        <v/>
      </c>
      <c r="S131" s="39">
        <f>O131*'1_Assumptions'!$E$24</f>
        <v/>
      </c>
      <c r="T131" s="39">
        <f>I131+S131-R131</f>
        <v/>
      </c>
      <c r="U131" s="39">
        <f>O131*$B$14</f>
        <v/>
      </c>
      <c r="V131" s="39">
        <f>K131-U131</f>
        <v/>
      </c>
      <c r="W131" s="39">
        <f>L131+O131*$B$16-L131/$B$18</f>
        <v/>
      </c>
      <c r="X131" s="39">
        <f>O131*'1_Assumptions'!$B$56/365+P131*'1_Assumptions'!$B$57/365+O131*'1_Assumptions'!$B$54-P131*'1_Assumptions'!$B$58/365-O131*'1_Assumptions'!$B$55</f>
        <v/>
      </c>
      <c r="Y131" s="39">
        <f>Q131*(1-$B$15)+R131+U131+IF($B$19=1,O131*'1_Assumptions'!$E$30,0)-S131-(X131-M131)</f>
        <v/>
      </c>
      <c r="Z131" s="39">
        <f>O131*(1+'1_Assumptions'!$E$13)</f>
        <v/>
      </c>
      <c r="AA131" s="39">
        <f>Z131*(1-('1_Assumptions'!$E$19+$C131))</f>
        <v/>
      </c>
      <c r="AB131" s="39">
        <f>Z131-AA131-Z131*$B$11+Z131*$B$12</f>
        <v/>
      </c>
      <c r="AC131" s="39">
        <f>T131*$B$13</f>
        <v/>
      </c>
      <c r="AD131" s="39">
        <f>Z131*'1_Assumptions'!$E$25</f>
        <v/>
      </c>
      <c r="AE131" s="39">
        <f>T131+AD131-AC131</f>
        <v/>
      </c>
      <c r="AF131" s="39">
        <f>Z131*$B$14</f>
        <v/>
      </c>
      <c r="AG131" s="39">
        <f>V131-AF131</f>
        <v/>
      </c>
      <c r="AH131" s="39">
        <f>W131+Z131*$B$16-W131/$B$18</f>
        <v/>
      </c>
      <c r="AI131" s="39">
        <f>Z131*'1_Assumptions'!$B$56/365+AA131*'1_Assumptions'!$B$57/365+Z131*'1_Assumptions'!$B$54-AA131*'1_Assumptions'!$B$58/365-Z131*'1_Assumptions'!$B$55</f>
        <v/>
      </c>
      <c r="AJ131" s="39">
        <f>AB131*(1-$B$15)+AC131+AF131+IF($B$19=1,Z131*'1_Assumptions'!$E$31,0)-AD131-(AI131-X131)</f>
        <v/>
      </c>
      <c r="AK131" s="39">
        <f>Z131*(1+'1_Assumptions'!$E$14)</f>
        <v/>
      </c>
      <c r="AL131" s="39">
        <f>AK131*(1-('1_Assumptions'!$E$20+$C131))</f>
        <v/>
      </c>
      <c r="AM131" s="39">
        <f>AK131-AL131-AK131*$B$11+AK131*$B$12</f>
        <v/>
      </c>
      <c r="AN131" s="39">
        <f>AE131*$B$13</f>
        <v/>
      </c>
      <c r="AO131" s="39">
        <f>AK131*'1_Assumptions'!$E$26</f>
        <v/>
      </c>
      <c r="AP131" s="39">
        <f>AE131+AO131-AN131</f>
        <v/>
      </c>
      <c r="AQ131" s="39">
        <f>AK131*$B$14</f>
        <v/>
      </c>
      <c r="AR131" s="39">
        <f>AG131-AQ131</f>
        <v/>
      </c>
      <c r="AS131" s="39">
        <f>AH131+AK131*$B$16-AH131/$B$18</f>
        <v/>
      </c>
      <c r="AT131" s="39">
        <f>AK131*'1_Assumptions'!$B$56/365+AL131*'1_Assumptions'!$B$57/365+AK131*'1_Assumptions'!$B$54-AL131*'1_Assumptions'!$B$58/365-AK131*'1_Assumptions'!$B$55</f>
        <v/>
      </c>
      <c r="AU131" s="39">
        <f>AM131*(1-$B$15)+AN131+AQ131+IF($B$19=1,AK131*'1_Assumptions'!$E$32,0)-AO131-(AT131-AI131)</f>
        <v/>
      </c>
      <c r="AV131" s="39">
        <f>AK131*(1+'1_Assumptions'!$E$15)</f>
        <v/>
      </c>
      <c r="AW131" s="39">
        <f>AV131*(1-('1_Assumptions'!$E$21+$C131))</f>
        <v/>
      </c>
      <c r="AX131" s="39">
        <f>AV131-AW131-AV131*$B$11+AV131*$B$12</f>
        <v/>
      </c>
      <c r="AY131" s="39">
        <f>AP131*$B$13</f>
        <v/>
      </c>
      <c r="AZ131" s="39">
        <f>AV131*'1_Assumptions'!$E$27</f>
        <v/>
      </c>
      <c r="BA131" s="39">
        <f>AP131+AZ131-AY131</f>
        <v/>
      </c>
      <c r="BB131" s="39">
        <f>AV131*$B$14</f>
        <v/>
      </c>
      <c r="BC131" s="39">
        <f>AR131-BB131</f>
        <v/>
      </c>
      <c r="BD131" s="39">
        <f>AS131+AV131*$B$16-AS131/$B$18</f>
        <v/>
      </c>
      <c r="BE131" s="39">
        <f>AV131*'1_Assumptions'!$B$56/365+AW131*'1_Assumptions'!$B$57/365+AV131*'1_Assumptions'!$B$54-AW131*'1_Assumptions'!$B$58/365-AV131*'1_Assumptions'!$B$55</f>
        <v/>
      </c>
      <c r="BF131" s="39">
        <f>AX131*(1-$B$15)+AY131+BB131+IF($B$19=1,AV131*'1_Assumptions'!$E$33,0)-AZ131-(BE131-AT131)</f>
        <v/>
      </c>
      <c r="BG131" s="39">
        <f>N131/(1+$B131)^(1-0.5*$B$23)+Y131/(1+$B131)^(2-0.5*$B$23)+AJ131/(1+$B131)^(3-0.5*$B$23)+AU131/(1+$B131)^(4-0.5*$B$23)+BF131/(1+$B131)^(5-0.5*$B$23)</f>
        <v/>
      </c>
      <c r="BH131" s="39">
        <f>BE131+BA131+BC131+$B$9+IF($B$17=1,BD131,0)</f>
        <v/>
      </c>
      <c r="BI131" s="19">
        <f>IF($B$32=2,$B131+$B$33,IF(BH131=0,0,BL131/BH131))</f>
        <v/>
      </c>
      <c r="BJ131" s="19">
        <f>IF(BI131=0,9,$B$22/BI131)</f>
        <v/>
      </c>
      <c r="BK131" s="55">
        <f>IF(OR(BH131&lt;=0,BI131&lt;=$B131,BJ131&gt;=1,BJ131&lt;0),1,0)</f>
        <v/>
      </c>
      <c r="BL131" s="39">
        <f>AX131*(1-$B$20)</f>
        <v/>
      </c>
      <c r="BM131" s="39">
        <f>IF(BK131=1,BL131,AX131*(1+$B$22)*(1-$B$20)*(1-BJ131))</f>
        <v/>
      </c>
      <c r="BN131" s="39">
        <f>IF(BK131=1,BL131/$B131,BM131/($B131-$B$22))</f>
        <v/>
      </c>
      <c r="BO131" s="39">
        <f>BN131/(1+$B131)^(5-0.5*$B$23)</f>
        <v/>
      </c>
      <c r="BP131" s="39">
        <f>BG131+BO131</f>
        <v/>
      </c>
      <c r="BQ131" s="39">
        <f>BP131*(1+$B131)^$B$24-N131*$B$24*(1+$B131)^($B$24/2)</f>
        <v/>
      </c>
      <c r="BR131" s="39">
        <f>BQ131-$B$25+$B$26+$B$27</f>
        <v/>
      </c>
      <c r="BS131" s="39">
        <f>IF($B$28=1,$B$30,BR131*$B$29)</f>
        <v/>
      </c>
      <c r="BT131" s="39">
        <f>BR131-BS131</f>
        <v/>
      </c>
      <c r="BU131" s="58">
        <f>BT131/$B$31</f>
        <v/>
      </c>
    </row>
    <row r="132">
      <c r="A132" s="17" t="inlineStr">
        <is>
          <t>2-3</t>
        </is>
      </c>
      <c r="B132" s="26">
        <f>$B$21+-0.01</f>
        <v/>
      </c>
      <c r="C132" s="26" t="n">
        <v>0</v>
      </c>
      <c r="D132" s="39">
        <f>$B$5*(1+'1_Assumptions'!$E$11)</f>
        <v/>
      </c>
      <c r="E132" s="39">
        <f>D132*(1-('1_Assumptions'!$E$17+IF('1_Assumptions'!$B$39=1,0,$C132)))</f>
        <v/>
      </c>
      <c r="F132" s="39">
        <f>D132-E132-D132*$B$11+D132*$B$12</f>
        <v/>
      </c>
      <c r="G132" s="39">
        <f>$B$6*$B$13</f>
        <v/>
      </c>
      <c r="H132" s="39">
        <f>D132*'1_Assumptions'!$E$23</f>
        <v/>
      </c>
      <c r="I132" s="39">
        <f>$B$6+H132-G132</f>
        <v/>
      </c>
      <c r="J132" s="39">
        <f>D132*$B$14</f>
        <v/>
      </c>
      <c r="K132" s="39">
        <f>$B$7-J132</f>
        <v/>
      </c>
      <c r="L132" s="39">
        <f>$B$8+D132*$B$16-$B$8/$B$18</f>
        <v/>
      </c>
      <c r="M132" s="39">
        <f>D132*'1_Assumptions'!$B$56/365+E132*'1_Assumptions'!$B$57/365+D132*'1_Assumptions'!$B$54-E132*'1_Assumptions'!$B$58/365-D132*'1_Assumptions'!$B$55</f>
        <v/>
      </c>
      <c r="N132" s="39">
        <f>F132*(1-$B$15)+G132+J132+IF($B$19=1,D132*'1_Assumptions'!$E$29,0)-H132-(M132-$B$10)</f>
        <v/>
      </c>
      <c r="O132" s="39">
        <f>D132*(1+'1_Assumptions'!$E$12)</f>
        <v/>
      </c>
      <c r="P132" s="39">
        <f>O132*(1-('1_Assumptions'!$E$18+$C132))</f>
        <v/>
      </c>
      <c r="Q132" s="39">
        <f>O132-P132-O132*$B$11+O132*$B$12</f>
        <v/>
      </c>
      <c r="R132" s="39">
        <f>I132*$B$13</f>
        <v/>
      </c>
      <c r="S132" s="39">
        <f>O132*'1_Assumptions'!$E$24</f>
        <v/>
      </c>
      <c r="T132" s="39">
        <f>I132+S132-R132</f>
        <v/>
      </c>
      <c r="U132" s="39">
        <f>O132*$B$14</f>
        <v/>
      </c>
      <c r="V132" s="39">
        <f>K132-U132</f>
        <v/>
      </c>
      <c r="W132" s="39">
        <f>L132+O132*$B$16-L132/$B$18</f>
        <v/>
      </c>
      <c r="X132" s="39">
        <f>O132*'1_Assumptions'!$B$56/365+P132*'1_Assumptions'!$B$57/365+O132*'1_Assumptions'!$B$54-P132*'1_Assumptions'!$B$58/365-O132*'1_Assumptions'!$B$55</f>
        <v/>
      </c>
      <c r="Y132" s="39">
        <f>Q132*(1-$B$15)+R132+U132+IF($B$19=1,O132*'1_Assumptions'!$E$30,0)-S132-(X132-M132)</f>
        <v/>
      </c>
      <c r="Z132" s="39">
        <f>O132*(1+'1_Assumptions'!$E$13)</f>
        <v/>
      </c>
      <c r="AA132" s="39">
        <f>Z132*(1-('1_Assumptions'!$E$19+$C132))</f>
        <v/>
      </c>
      <c r="AB132" s="39">
        <f>Z132-AA132-Z132*$B$11+Z132*$B$12</f>
        <v/>
      </c>
      <c r="AC132" s="39">
        <f>T132*$B$13</f>
        <v/>
      </c>
      <c r="AD132" s="39">
        <f>Z132*'1_Assumptions'!$E$25</f>
        <v/>
      </c>
      <c r="AE132" s="39">
        <f>T132+AD132-AC132</f>
        <v/>
      </c>
      <c r="AF132" s="39">
        <f>Z132*$B$14</f>
        <v/>
      </c>
      <c r="AG132" s="39">
        <f>V132-AF132</f>
        <v/>
      </c>
      <c r="AH132" s="39">
        <f>W132+Z132*$B$16-W132/$B$18</f>
        <v/>
      </c>
      <c r="AI132" s="39">
        <f>Z132*'1_Assumptions'!$B$56/365+AA132*'1_Assumptions'!$B$57/365+Z132*'1_Assumptions'!$B$54-AA132*'1_Assumptions'!$B$58/365-Z132*'1_Assumptions'!$B$55</f>
        <v/>
      </c>
      <c r="AJ132" s="39">
        <f>AB132*(1-$B$15)+AC132+AF132+IF($B$19=1,Z132*'1_Assumptions'!$E$31,0)-AD132-(AI132-X132)</f>
        <v/>
      </c>
      <c r="AK132" s="39">
        <f>Z132*(1+'1_Assumptions'!$E$14)</f>
        <v/>
      </c>
      <c r="AL132" s="39">
        <f>AK132*(1-('1_Assumptions'!$E$20+$C132))</f>
        <v/>
      </c>
      <c r="AM132" s="39">
        <f>AK132-AL132-AK132*$B$11+AK132*$B$12</f>
        <v/>
      </c>
      <c r="AN132" s="39">
        <f>AE132*$B$13</f>
        <v/>
      </c>
      <c r="AO132" s="39">
        <f>AK132*'1_Assumptions'!$E$26</f>
        <v/>
      </c>
      <c r="AP132" s="39">
        <f>AE132+AO132-AN132</f>
        <v/>
      </c>
      <c r="AQ132" s="39">
        <f>AK132*$B$14</f>
        <v/>
      </c>
      <c r="AR132" s="39">
        <f>AG132-AQ132</f>
        <v/>
      </c>
      <c r="AS132" s="39">
        <f>AH132+AK132*$B$16-AH132/$B$18</f>
        <v/>
      </c>
      <c r="AT132" s="39">
        <f>AK132*'1_Assumptions'!$B$56/365+AL132*'1_Assumptions'!$B$57/365+AK132*'1_Assumptions'!$B$54-AL132*'1_Assumptions'!$B$58/365-AK132*'1_Assumptions'!$B$55</f>
        <v/>
      </c>
      <c r="AU132" s="39">
        <f>AM132*(1-$B$15)+AN132+AQ132+IF($B$19=1,AK132*'1_Assumptions'!$E$32,0)-AO132-(AT132-AI132)</f>
        <v/>
      </c>
      <c r="AV132" s="39">
        <f>AK132*(1+'1_Assumptions'!$E$15)</f>
        <v/>
      </c>
      <c r="AW132" s="39">
        <f>AV132*(1-('1_Assumptions'!$E$21+$C132))</f>
        <v/>
      </c>
      <c r="AX132" s="39">
        <f>AV132-AW132-AV132*$B$11+AV132*$B$12</f>
        <v/>
      </c>
      <c r="AY132" s="39">
        <f>AP132*$B$13</f>
        <v/>
      </c>
      <c r="AZ132" s="39">
        <f>AV132*'1_Assumptions'!$E$27</f>
        <v/>
      </c>
      <c r="BA132" s="39">
        <f>AP132+AZ132-AY132</f>
        <v/>
      </c>
      <c r="BB132" s="39">
        <f>AV132*$B$14</f>
        <v/>
      </c>
      <c r="BC132" s="39">
        <f>AR132-BB132</f>
        <v/>
      </c>
      <c r="BD132" s="39">
        <f>AS132+AV132*$B$16-AS132/$B$18</f>
        <v/>
      </c>
      <c r="BE132" s="39">
        <f>AV132*'1_Assumptions'!$B$56/365+AW132*'1_Assumptions'!$B$57/365+AV132*'1_Assumptions'!$B$54-AW132*'1_Assumptions'!$B$58/365-AV132*'1_Assumptions'!$B$55</f>
        <v/>
      </c>
      <c r="BF132" s="39">
        <f>AX132*(1-$B$15)+AY132+BB132+IF($B$19=1,AV132*'1_Assumptions'!$E$33,0)-AZ132-(BE132-AT132)</f>
        <v/>
      </c>
      <c r="BG132" s="39">
        <f>N132/(1+$B132)^(1-0.5*$B$23)+Y132/(1+$B132)^(2-0.5*$B$23)+AJ132/(1+$B132)^(3-0.5*$B$23)+AU132/(1+$B132)^(4-0.5*$B$23)+BF132/(1+$B132)^(5-0.5*$B$23)</f>
        <v/>
      </c>
      <c r="BH132" s="39">
        <f>BE132+BA132+BC132+$B$9+IF($B$17=1,BD132,0)</f>
        <v/>
      </c>
      <c r="BI132" s="19">
        <f>IF($B$32=2,$B132+$B$33,IF(BH132=0,0,BL132/BH132))</f>
        <v/>
      </c>
      <c r="BJ132" s="19">
        <f>IF(BI132=0,9,$B$22/BI132)</f>
        <v/>
      </c>
      <c r="BK132" s="55">
        <f>IF(OR(BH132&lt;=0,BI132&lt;=$B132,BJ132&gt;=1,BJ132&lt;0),1,0)</f>
        <v/>
      </c>
      <c r="BL132" s="39">
        <f>AX132*(1-$B$20)</f>
        <v/>
      </c>
      <c r="BM132" s="39">
        <f>IF(BK132=1,BL132,AX132*(1+$B$22)*(1-$B$20)*(1-BJ132))</f>
        <v/>
      </c>
      <c r="BN132" s="39">
        <f>IF(BK132=1,BL132/$B132,BM132/($B132-$B$22))</f>
        <v/>
      </c>
      <c r="BO132" s="39">
        <f>BN132/(1+$B132)^(5-0.5*$B$23)</f>
        <v/>
      </c>
      <c r="BP132" s="39">
        <f>BG132+BO132</f>
        <v/>
      </c>
      <c r="BQ132" s="39">
        <f>BP132*(1+$B132)^$B$24-N132*$B$24*(1+$B132)^($B$24/2)</f>
        <v/>
      </c>
      <c r="BR132" s="39">
        <f>BQ132-$B$25+$B$26+$B$27</f>
        <v/>
      </c>
      <c r="BS132" s="39">
        <f>IF($B$28=1,$B$30,BR132*$B$29)</f>
        <v/>
      </c>
      <c r="BT132" s="39">
        <f>BR132-BS132</f>
        <v/>
      </c>
      <c r="BU132" s="58">
        <f>BT132/$B$31</f>
        <v/>
      </c>
    </row>
    <row r="133">
      <c r="A133" s="17" t="inlineStr">
        <is>
          <t>2-4</t>
        </is>
      </c>
      <c r="B133" s="26">
        <f>$B$21+-0.01</f>
        <v/>
      </c>
      <c r="C133" s="26" t="n">
        <v>0.02</v>
      </c>
      <c r="D133" s="39">
        <f>$B$5*(1+'1_Assumptions'!$E$11)</f>
        <v/>
      </c>
      <c r="E133" s="39">
        <f>D133*(1-('1_Assumptions'!$E$17+IF('1_Assumptions'!$B$39=1,0,$C133)))</f>
        <v/>
      </c>
      <c r="F133" s="39">
        <f>D133-E133-D133*$B$11+D133*$B$12</f>
        <v/>
      </c>
      <c r="G133" s="39">
        <f>$B$6*$B$13</f>
        <v/>
      </c>
      <c r="H133" s="39">
        <f>D133*'1_Assumptions'!$E$23</f>
        <v/>
      </c>
      <c r="I133" s="39">
        <f>$B$6+H133-G133</f>
        <v/>
      </c>
      <c r="J133" s="39">
        <f>D133*$B$14</f>
        <v/>
      </c>
      <c r="K133" s="39">
        <f>$B$7-J133</f>
        <v/>
      </c>
      <c r="L133" s="39">
        <f>$B$8+D133*$B$16-$B$8/$B$18</f>
        <v/>
      </c>
      <c r="M133" s="39">
        <f>D133*'1_Assumptions'!$B$56/365+E133*'1_Assumptions'!$B$57/365+D133*'1_Assumptions'!$B$54-E133*'1_Assumptions'!$B$58/365-D133*'1_Assumptions'!$B$55</f>
        <v/>
      </c>
      <c r="N133" s="39">
        <f>F133*(1-$B$15)+G133+J133+IF($B$19=1,D133*'1_Assumptions'!$E$29,0)-H133-(M133-$B$10)</f>
        <v/>
      </c>
      <c r="O133" s="39">
        <f>D133*(1+'1_Assumptions'!$E$12)</f>
        <v/>
      </c>
      <c r="P133" s="39">
        <f>O133*(1-('1_Assumptions'!$E$18+$C133))</f>
        <v/>
      </c>
      <c r="Q133" s="39">
        <f>O133-P133-O133*$B$11+O133*$B$12</f>
        <v/>
      </c>
      <c r="R133" s="39">
        <f>I133*$B$13</f>
        <v/>
      </c>
      <c r="S133" s="39">
        <f>O133*'1_Assumptions'!$E$24</f>
        <v/>
      </c>
      <c r="T133" s="39">
        <f>I133+S133-R133</f>
        <v/>
      </c>
      <c r="U133" s="39">
        <f>O133*$B$14</f>
        <v/>
      </c>
      <c r="V133" s="39">
        <f>K133-U133</f>
        <v/>
      </c>
      <c r="W133" s="39">
        <f>L133+O133*$B$16-L133/$B$18</f>
        <v/>
      </c>
      <c r="X133" s="39">
        <f>O133*'1_Assumptions'!$B$56/365+P133*'1_Assumptions'!$B$57/365+O133*'1_Assumptions'!$B$54-P133*'1_Assumptions'!$B$58/365-O133*'1_Assumptions'!$B$55</f>
        <v/>
      </c>
      <c r="Y133" s="39">
        <f>Q133*(1-$B$15)+R133+U133+IF($B$19=1,O133*'1_Assumptions'!$E$30,0)-S133-(X133-M133)</f>
        <v/>
      </c>
      <c r="Z133" s="39">
        <f>O133*(1+'1_Assumptions'!$E$13)</f>
        <v/>
      </c>
      <c r="AA133" s="39">
        <f>Z133*(1-('1_Assumptions'!$E$19+$C133))</f>
        <v/>
      </c>
      <c r="AB133" s="39">
        <f>Z133-AA133-Z133*$B$11+Z133*$B$12</f>
        <v/>
      </c>
      <c r="AC133" s="39">
        <f>T133*$B$13</f>
        <v/>
      </c>
      <c r="AD133" s="39">
        <f>Z133*'1_Assumptions'!$E$25</f>
        <v/>
      </c>
      <c r="AE133" s="39">
        <f>T133+AD133-AC133</f>
        <v/>
      </c>
      <c r="AF133" s="39">
        <f>Z133*$B$14</f>
        <v/>
      </c>
      <c r="AG133" s="39">
        <f>V133-AF133</f>
        <v/>
      </c>
      <c r="AH133" s="39">
        <f>W133+Z133*$B$16-W133/$B$18</f>
        <v/>
      </c>
      <c r="AI133" s="39">
        <f>Z133*'1_Assumptions'!$B$56/365+AA133*'1_Assumptions'!$B$57/365+Z133*'1_Assumptions'!$B$54-AA133*'1_Assumptions'!$B$58/365-Z133*'1_Assumptions'!$B$55</f>
        <v/>
      </c>
      <c r="AJ133" s="39">
        <f>AB133*(1-$B$15)+AC133+AF133+IF($B$19=1,Z133*'1_Assumptions'!$E$31,0)-AD133-(AI133-X133)</f>
        <v/>
      </c>
      <c r="AK133" s="39">
        <f>Z133*(1+'1_Assumptions'!$E$14)</f>
        <v/>
      </c>
      <c r="AL133" s="39">
        <f>AK133*(1-('1_Assumptions'!$E$20+$C133))</f>
        <v/>
      </c>
      <c r="AM133" s="39">
        <f>AK133-AL133-AK133*$B$11+AK133*$B$12</f>
        <v/>
      </c>
      <c r="AN133" s="39">
        <f>AE133*$B$13</f>
        <v/>
      </c>
      <c r="AO133" s="39">
        <f>AK133*'1_Assumptions'!$E$26</f>
        <v/>
      </c>
      <c r="AP133" s="39">
        <f>AE133+AO133-AN133</f>
        <v/>
      </c>
      <c r="AQ133" s="39">
        <f>AK133*$B$14</f>
        <v/>
      </c>
      <c r="AR133" s="39">
        <f>AG133-AQ133</f>
        <v/>
      </c>
      <c r="AS133" s="39">
        <f>AH133+AK133*$B$16-AH133/$B$18</f>
        <v/>
      </c>
      <c r="AT133" s="39">
        <f>AK133*'1_Assumptions'!$B$56/365+AL133*'1_Assumptions'!$B$57/365+AK133*'1_Assumptions'!$B$54-AL133*'1_Assumptions'!$B$58/365-AK133*'1_Assumptions'!$B$55</f>
        <v/>
      </c>
      <c r="AU133" s="39">
        <f>AM133*(1-$B$15)+AN133+AQ133+IF($B$19=1,AK133*'1_Assumptions'!$E$32,0)-AO133-(AT133-AI133)</f>
        <v/>
      </c>
      <c r="AV133" s="39">
        <f>AK133*(1+'1_Assumptions'!$E$15)</f>
        <v/>
      </c>
      <c r="AW133" s="39">
        <f>AV133*(1-('1_Assumptions'!$E$21+$C133))</f>
        <v/>
      </c>
      <c r="AX133" s="39">
        <f>AV133-AW133-AV133*$B$11+AV133*$B$12</f>
        <v/>
      </c>
      <c r="AY133" s="39">
        <f>AP133*$B$13</f>
        <v/>
      </c>
      <c r="AZ133" s="39">
        <f>AV133*'1_Assumptions'!$E$27</f>
        <v/>
      </c>
      <c r="BA133" s="39">
        <f>AP133+AZ133-AY133</f>
        <v/>
      </c>
      <c r="BB133" s="39">
        <f>AV133*$B$14</f>
        <v/>
      </c>
      <c r="BC133" s="39">
        <f>AR133-BB133</f>
        <v/>
      </c>
      <c r="BD133" s="39">
        <f>AS133+AV133*$B$16-AS133/$B$18</f>
        <v/>
      </c>
      <c r="BE133" s="39">
        <f>AV133*'1_Assumptions'!$B$56/365+AW133*'1_Assumptions'!$B$57/365+AV133*'1_Assumptions'!$B$54-AW133*'1_Assumptions'!$B$58/365-AV133*'1_Assumptions'!$B$55</f>
        <v/>
      </c>
      <c r="BF133" s="39">
        <f>AX133*(1-$B$15)+AY133+BB133+IF($B$19=1,AV133*'1_Assumptions'!$E$33,0)-AZ133-(BE133-AT133)</f>
        <v/>
      </c>
      <c r="BG133" s="39">
        <f>N133/(1+$B133)^(1-0.5*$B$23)+Y133/(1+$B133)^(2-0.5*$B$23)+AJ133/(1+$B133)^(3-0.5*$B$23)+AU133/(1+$B133)^(4-0.5*$B$23)+BF133/(1+$B133)^(5-0.5*$B$23)</f>
        <v/>
      </c>
      <c r="BH133" s="39">
        <f>BE133+BA133+BC133+$B$9+IF($B$17=1,BD133,0)</f>
        <v/>
      </c>
      <c r="BI133" s="19">
        <f>IF($B$32=2,$B133+$B$33,IF(BH133=0,0,BL133/BH133))</f>
        <v/>
      </c>
      <c r="BJ133" s="19">
        <f>IF(BI133=0,9,$B$22/BI133)</f>
        <v/>
      </c>
      <c r="BK133" s="55">
        <f>IF(OR(BH133&lt;=0,BI133&lt;=$B133,BJ133&gt;=1,BJ133&lt;0),1,0)</f>
        <v/>
      </c>
      <c r="BL133" s="39">
        <f>AX133*(1-$B$20)</f>
        <v/>
      </c>
      <c r="BM133" s="39">
        <f>IF(BK133=1,BL133,AX133*(1+$B$22)*(1-$B$20)*(1-BJ133))</f>
        <v/>
      </c>
      <c r="BN133" s="39">
        <f>IF(BK133=1,BL133/$B133,BM133/($B133-$B$22))</f>
        <v/>
      </c>
      <c r="BO133" s="39">
        <f>BN133/(1+$B133)^(5-0.5*$B$23)</f>
        <v/>
      </c>
      <c r="BP133" s="39">
        <f>BG133+BO133</f>
        <v/>
      </c>
      <c r="BQ133" s="39">
        <f>BP133*(1+$B133)^$B$24-N133*$B$24*(1+$B133)^($B$24/2)</f>
        <v/>
      </c>
      <c r="BR133" s="39">
        <f>BQ133-$B$25+$B$26+$B$27</f>
        <v/>
      </c>
      <c r="BS133" s="39">
        <f>IF($B$28=1,$B$30,BR133*$B$29)</f>
        <v/>
      </c>
      <c r="BT133" s="39">
        <f>BR133-BS133</f>
        <v/>
      </c>
      <c r="BU133" s="58">
        <f>BT133/$B$31</f>
        <v/>
      </c>
    </row>
    <row r="134">
      <c r="A134" s="17" t="inlineStr">
        <is>
          <t>2-5</t>
        </is>
      </c>
      <c r="B134" s="26">
        <f>$B$21+-0.01</f>
        <v/>
      </c>
      <c r="C134" s="26" t="n">
        <v>0.04</v>
      </c>
      <c r="D134" s="39">
        <f>$B$5*(1+'1_Assumptions'!$E$11)</f>
        <v/>
      </c>
      <c r="E134" s="39">
        <f>D134*(1-('1_Assumptions'!$E$17+IF('1_Assumptions'!$B$39=1,0,$C134)))</f>
        <v/>
      </c>
      <c r="F134" s="39">
        <f>D134-E134-D134*$B$11+D134*$B$12</f>
        <v/>
      </c>
      <c r="G134" s="39">
        <f>$B$6*$B$13</f>
        <v/>
      </c>
      <c r="H134" s="39">
        <f>D134*'1_Assumptions'!$E$23</f>
        <v/>
      </c>
      <c r="I134" s="39">
        <f>$B$6+H134-G134</f>
        <v/>
      </c>
      <c r="J134" s="39">
        <f>D134*$B$14</f>
        <v/>
      </c>
      <c r="K134" s="39">
        <f>$B$7-J134</f>
        <v/>
      </c>
      <c r="L134" s="39">
        <f>$B$8+D134*$B$16-$B$8/$B$18</f>
        <v/>
      </c>
      <c r="M134" s="39">
        <f>D134*'1_Assumptions'!$B$56/365+E134*'1_Assumptions'!$B$57/365+D134*'1_Assumptions'!$B$54-E134*'1_Assumptions'!$B$58/365-D134*'1_Assumptions'!$B$55</f>
        <v/>
      </c>
      <c r="N134" s="39">
        <f>F134*(1-$B$15)+G134+J134+IF($B$19=1,D134*'1_Assumptions'!$E$29,0)-H134-(M134-$B$10)</f>
        <v/>
      </c>
      <c r="O134" s="39">
        <f>D134*(1+'1_Assumptions'!$E$12)</f>
        <v/>
      </c>
      <c r="P134" s="39">
        <f>O134*(1-('1_Assumptions'!$E$18+$C134))</f>
        <v/>
      </c>
      <c r="Q134" s="39">
        <f>O134-P134-O134*$B$11+O134*$B$12</f>
        <v/>
      </c>
      <c r="R134" s="39">
        <f>I134*$B$13</f>
        <v/>
      </c>
      <c r="S134" s="39">
        <f>O134*'1_Assumptions'!$E$24</f>
        <v/>
      </c>
      <c r="T134" s="39">
        <f>I134+S134-R134</f>
        <v/>
      </c>
      <c r="U134" s="39">
        <f>O134*$B$14</f>
        <v/>
      </c>
      <c r="V134" s="39">
        <f>K134-U134</f>
        <v/>
      </c>
      <c r="W134" s="39">
        <f>L134+O134*$B$16-L134/$B$18</f>
        <v/>
      </c>
      <c r="X134" s="39">
        <f>O134*'1_Assumptions'!$B$56/365+P134*'1_Assumptions'!$B$57/365+O134*'1_Assumptions'!$B$54-P134*'1_Assumptions'!$B$58/365-O134*'1_Assumptions'!$B$55</f>
        <v/>
      </c>
      <c r="Y134" s="39">
        <f>Q134*(1-$B$15)+R134+U134+IF($B$19=1,O134*'1_Assumptions'!$E$30,0)-S134-(X134-M134)</f>
        <v/>
      </c>
      <c r="Z134" s="39">
        <f>O134*(1+'1_Assumptions'!$E$13)</f>
        <v/>
      </c>
      <c r="AA134" s="39">
        <f>Z134*(1-('1_Assumptions'!$E$19+$C134))</f>
        <v/>
      </c>
      <c r="AB134" s="39">
        <f>Z134-AA134-Z134*$B$11+Z134*$B$12</f>
        <v/>
      </c>
      <c r="AC134" s="39">
        <f>T134*$B$13</f>
        <v/>
      </c>
      <c r="AD134" s="39">
        <f>Z134*'1_Assumptions'!$E$25</f>
        <v/>
      </c>
      <c r="AE134" s="39">
        <f>T134+AD134-AC134</f>
        <v/>
      </c>
      <c r="AF134" s="39">
        <f>Z134*$B$14</f>
        <v/>
      </c>
      <c r="AG134" s="39">
        <f>V134-AF134</f>
        <v/>
      </c>
      <c r="AH134" s="39">
        <f>W134+Z134*$B$16-W134/$B$18</f>
        <v/>
      </c>
      <c r="AI134" s="39">
        <f>Z134*'1_Assumptions'!$B$56/365+AA134*'1_Assumptions'!$B$57/365+Z134*'1_Assumptions'!$B$54-AA134*'1_Assumptions'!$B$58/365-Z134*'1_Assumptions'!$B$55</f>
        <v/>
      </c>
      <c r="AJ134" s="39">
        <f>AB134*(1-$B$15)+AC134+AF134+IF($B$19=1,Z134*'1_Assumptions'!$E$31,0)-AD134-(AI134-X134)</f>
        <v/>
      </c>
      <c r="AK134" s="39">
        <f>Z134*(1+'1_Assumptions'!$E$14)</f>
        <v/>
      </c>
      <c r="AL134" s="39">
        <f>AK134*(1-('1_Assumptions'!$E$20+$C134))</f>
        <v/>
      </c>
      <c r="AM134" s="39">
        <f>AK134-AL134-AK134*$B$11+AK134*$B$12</f>
        <v/>
      </c>
      <c r="AN134" s="39">
        <f>AE134*$B$13</f>
        <v/>
      </c>
      <c r="AO134" s="39">
        <f>AK134*'1_Assumptions'!$E$26</f>
        <v/>
      </c>
      <c r="AP134" s="39">
        <f>AE134+AO134-AN134</f>
        <v/>
      </c>
      <c r="AQ134" s="39">
        <f>AK134*$B$14</f>
        <v/>
      </c>
      <c r="AR134" s="39">
        <f>AG134-AQ134</f>
        <v/>
      </c>
      <c r="AS134" s="39">
        <f>AH134+AK134*$B$16-AH134/$B$18</f>
        <v/>
      </c>
      <c r="AT134" s="39">
        <f>AK134*'1_Assumptions'!$B$56/365+AL134*'1_Assumptions'!$B$57/365+AK134*'1_Assumptions'!$B$54-AL134*'1_Assumptions'!$B$58/365-AK134*'1_Assumptions'!$B$55</f>
        <v/>
      </c>
      <c r="AU134" s="39">
        <f>AM134*(1-$B$15)+AN134+AQ134+IF($B$19=1,AK134*'1_Assumptions'!$E$32,0)-AO134-(AT134-AI134)</f>
        <v/>
      </c>
      <c r="AV134" s="39">
        <f>AK134*(1+'1_Assumptions'!$E$15)</f>
        <v/>
      </c>
      <c r="AW134" s="39">
        <f>AV134*(1-('1_Assumptions'!$E$21+$C134))</f>
        <v/>
      </c>
      <c r="AX134" s="39">
        <f>AV134-AW134-AV134*$B$11+AV134*$B$12</f>
        <v/>
      </c>
      <c r="AY134" s="39">
        <f>AP134*$B$13</f>
        <v/>
      </c>
      <c r="AZ134" s="39">
        <f>AV134*'1_Assumptions'!$E$27</f>
        <v/>
      </c>
      <c r="BA134" s="39">
        <f>AP134+AZ134-AY134</f>
        <v/>
      </c>
      <c r="BB134" s="39">
        <f>AV134*$B$14</f>
        <v/>
      </c>
      <c r="BC134" s="39">
        <f>AR134-BB134</f>
        <v/>
      </c>
      <c r="BD134" s="39">
        <f>AS134+AV134*$B$16-AS134/$B$18</f>
        <v/>
      </c>
      <c r="BE134" s="39">
        <f>AV134*'1_Assumptions'!$B$56/365+AW134*'1_Assumptions'!$B$57/365+AV134*'1_Assumptions'!$B$54-AW134*'1_Assumptions'!$B$58/365-AV134*'1_Assumptions'!$B$55</f>
        <v/>
      </c>
      <c r="BF134" s="39">
        <f>AX134*(1-$B$15)+AY134+BB134+IF($B$19=1,AV134*'1_Assumptions'!$E$33,0)-AZ134-(BE134-AT134)</f>
        <v/>
      </c>
      <c r="BG134" s="39">
        <f>N134/(1+$B134)^(1-0.5*$B$23)+Y134/(1+$B134)^(2-0.5*$B$23)+AJ134/(1+$B134)^(3-0.5*$B$23)+AU134/(1+$B134)^(4-0.5*$B$23)+BF134/(1+$B134)^(5-0.5*$B$23)</f>
        <v/>
      </c>
      <c r="BH134" s="39">
        <f>BE134+BA134+BC134+$B$9+IF($B$17=1,BD134,0)</f>
        <v/>
      </c>
      <c r="BI134" s="19">
        <f>IF($B$32=2,$B134+$B$33,IF(BH134=0,0,BL134/BH134))</f>
        <v/>
      </c>
      <c r="BJ134" s="19">
        <f>IF(BI134=0,9,$B$22/BI134)</f>
        <v/>
      </c>
      <c r="BK134" s="55">
        <f>IF(OR(BH134&lt;=0,BI134&lt;=$B134,BJ134&gt;=1,BJ134&lt;0),1,0)</f>
        <v/>
      </c>
      <c r="BL134" s="39">
        <f>AX134*(1-$B$20)</f>
        <v/>
      </c>
      <c r="BM134" s="39">
        <f>IF(BK134=1,BL134,AX134*(1+$B$22)*(1-$B$20)*(1-BJ134))</f>
        <v/>
      </c>
      <c r="BN134" s="39">
        <f>IF(BK134=1,BL134/$B134,BM134/($B134-$B$22))</f>
        <v/>
      </c>
      <c r="BO134" s="39">
        <f>BN134/(1+$B134)^(5-0.5*$B$23)</f>
        <v/>
      </c>
      <c r="BP134" s="39">
        <f>BG134+BO134</f>
        <v/>
      </c>
      <c r="BQ134" s="39">
        <f>BP134*(1+$B134)^$B$24-N134*$B$24*(1+$B134)^($B$24/2)</f>
        <v/>
      </c>
      <c r="BR134" s="39">
        <f>BQ134-$B$25+$B$26+$B$27</f>
        <v/>
      </c>
      <c r="BS134" s="39">
        <f>IF($B$28=1,$B$30,BR134*$B$29)</f>
        <v/>
      </c>
      <c r="BT134" s="39">
        <f>BR134-BS134</f>
        <v/>
      </c>
      <c r="BU134" s="58">
        <f>BT134/$B$31</f>
        <v/>
      </c>
    </row>
    <row r="135">
      <c r="A135" s="17" t="inlineStr">
        <is>
          <t>3-1</t>
        </is>
      </c>
      <c r="B135" s="26">
        <f>$B$21+0.0</f>
        <v/>
      </c>
      <c r="C135" s="26" t="n">
        <v>-0.04</v>
      </c>
      <c r="D135" s="39">
        <f>$B$5*(1+'1_Assumptions'!$E$11)</f>
        <v/>
      </c>
      <c r="E135" s="39">
        <f>D135*(1-('1_Assumptions'!$E$17+IF('1_Assumptions'!$B$39=1,0,$C135)))</f>
        <v/>
      </c>
      <c r="F135" s="39">
        <f>D135-E135-D135*$B$11+D135*$B$12</f>
        <v/>
      </c>
      <c r="G135" s="39">
        <f>$B$6*$B$13</f>
        <v/>
      </c>
      <c r="H135" s="39">
        <f>D135*'1_Assumptions'!$E$23</f>
        <v/>
      </c>
      <c r="I135" s="39">
        <f>$B$6+H135-G135</f>
        <v/>
      </c>
      <c r="J135" s="39">
        <f>D135*$B$14</f>
        <v/>
      </c>
      <c r="K135" s="39">
        <f>$B$7-J135</f>
        <v/>
      </c>
      <c r="L135" s="39">
        <f>$B$8+D135*$B$16-$B$8/$B$18</f>
        <v/>
      </c>
      <c r="M135" s="39">
        <f>D135*'1_Assumptions'!$B$56/365+E135*'1_Assumptions'!$B$57/365+D135*'1_Assumptions'!$B$54-E135*'1_Assumptions'!$B$58/365-D135*'1_Assumptions'!$B$55</f>
        <v/>
      </c>
      <c r="N135" s="39">
        <f>F135*(1-$B$15)+G135+J135+IF($B$19=1,D135*'1_Assumptions'!$E$29,0)-H135-(M135-$B$10)</f>
        <v/>
      </c>
      <c r="O135" s="39">
        <f>D135*(1+'1_Assumptions'!$E$12)</f>
        <v/>
      </c>
      <c r="P135" s="39">
        <f>O135*(1-('1_Assumptions'!$E$18+$C135))</f>
        <v/>
      </c>
      <c r="Q135" s="39">
        <f>O135-P135-O135*$B$11+O135*$B$12</f>
        <v/>
      </c>
      <c r="R135" s="39">
        <f>I135*$B$13</f>
        <v/>
      </c>
      <c r="S135" s="39">
        <f>O135*'1_Assumptions'!$E$24</f>
        <v/>
      </c>
      <c r="T135" s="39">
        <f>I135+S135-R135</f>
        <v/>
      </c>
      <c r="U135" s="39">
        <f>O135*$B$14</f>
        <v/>
      </c>
      <c r="V135" s="39">
        <f>K135-U135</f>
        <v/>
      </c>
      <c r="W135" s="39">
        <f>L135+O135*$B$16-L135/$B$18</f>
        <v/>
      </c>
      <c r="X135" s="39">
        <f>O135*'1_Assumptions'!$B$56/365+P135*'1_Assumptions'!$B$57/365+O135*'1_Assumptions'!$B$54-P135*'1_Assumptions'!$B$58/365-O135*'1_Assumptions'!$B$55</f>
        <v/>
      </c>
      <c r="Y135" s="39">
        <f>Q135*(1-$B$15)+R135+U135+IF($B$19=1,O135*'1_Assumptions'!$E$30,0)-S135-(X135-M135)</f>
        <v/>
      </c>
      <c r="Z135" s="39">
        <f>O135*(1+'1_Assumptions'!$E$13)</f>
        <v/>
      </c>
      <c r="AA135" s="39">
        <f>Z135*(1-('1_Assumptions'!$E$19+$C135))</f>
        <v/>
      </c>
      <c r="AB135" s="39">
        <f>Z135-AA135-Z135*$B$11+Z135*$B$12</f>
        <v/>
      </c>
      <c r="AC135" s="39">
        <f>T135*$B$13</f>
        <v/>
      </c>
      <c r="AD135" s="39">
        <f>Z135*'1_Assumptions'!$E$25</f>
        <v/>
      </c>
      <c r="AE135" s="39">
        <f>T135+AD135-AC135</f>
        <v/>
      </c>
      <c r="AF135" s="39">
        <f>Z135*$B$14</f>
        <v/>
      </c>
      <c r="AG135" s="39">
        <f>V135-AF135</f>
        <v/>
      </c>
      <c r="AH135" s="39">
        <f>W135+Z135*$B$16-W135/$B$18</f>
        <v/>
      </c>
      <c r="AI135" s="39">
        <f>Z135*'1_Assumptions'!$B$56/365+AA135*'1_Assumptions'!$B$57/365+Z135*'1_Assumptions'!$B$54-AA135*'1_Assumptions'!$B$58/365-Z135*'1_Assumptions'!$B$55</f>
        <v/>
      </c>
      <c r="AJ135" s="39">
        <f>AB135*(1-$B$15)+AC135+AF135+IF($B$19=1,Z135*'1_Assumptions'!$E$31,0)-AD135-(AI135-X135)</f>
        <v/>
      </c>
      <c r="AK135" s="39">
        <f>Z135*(1+'1_Assumptions'!$E$14)</f>
        <v/>
      </c>
      <c r="AL135" s="39">
        <f>AK135*(1-('1_Assumptions'!$E$20+$C135))</f>
        <v/>
      </c>
      <c r="AM135" s="39">
        <f>AK135-AL135-AK135*$B$11+AK135*$B$12</f>
        <v/>
      </c>
      <c r="AN135" s="39">
        <f>AE135*$B$13</f>
        <v/>
      </c>
      <c r="AO135" s="39">
        <f>AK135*'1_Assumptions'!$E$26</f>
        <v/>
      </c>
      <c r="AP135" s="39">
        <f>AE135+AO135-AN135</f>
        <v/>
      </c>
      <c r="AQ135" s="39">
        <f>AK135*$B$14</f>
        <v/>
      </c>
      <c r="AR135" s="39">
        <f>AG135-AQ135</f>
        <v/>
      </c>
      <c r="AS135" s="39">
        <f>AH135+AK135*$B$16-AH135/$B$18</f>
        <v/>
      </c>
      <c r="AT135" s="39">
        <f>AK135*'1_Assumptions'!$B$56/365+AL135*'1_Assumptions'!$B$57/365+AK135*'1_Assumptions'!$B$54-AL135*'1_Assumptions'!$B$58/365-AK135*'1_Assumptions'!$B$55</f>
        <v/>
      </c>
      <c r="AU135" s="39">
        <f>AM135*(1-$B$15)+AN135+AQ135+IF($B$19=1,AK135*'1_Assumptions'!$E$32,0)-AO135-(AT135-AI135)</f>
        <v/>
      </c>
      <c r="AV135" s="39">
        <f>AK135*(1+'1_Assumptions'!$E$15)</f>
        <v/>
      </c>
      <c r="AW135" s="39">
        <f>AV135*(1-('1_Assumptions'!$E$21+$C135))</f>
        <v/>
      </c>
      <c r="AX135" s="39">
        <f>AV135-AW135-AV135*$B$11+AV135*$B$12</f>
        <v/>
      </c>
      <c r="AY135" s="39">
        <f>AP135*$B$13</f>
        <v/>
      </c>
      <c r="AZ135" s="39">
        <f>AV135*'1_Assumptions'!$E$27</f>
        <v/>
      </c>
      <c r="BA135" s="39">
        <f>AP135+AZ135-AY135</f>
        <v/>
      </c>
      <c r="BB135" s="39">
        <f>AV135*$B$14</f>
        <v/>
      </c>
      <c r="BC135" s="39">
        <f>AR135-BB135</f>
        <v/>
      </c>
      <c r="BD135" s="39">
        <f>AS135+AV135*$B$16-AS135/$B$18</f>
        <v/>
      </c>
      <c r="BE135" s="39">
        <f>AV135*'1_Assumptions'!$B$56/365+AW135*'1_Assumptions'!$B$57/365+AV135*'1_Assumptions'!$B$54-AW135*'1_Assumptions'!$B$58/365-AV135*'1_Assumptions'!$B$55</f>
        <v/>
      </c>
      <c r="BF135" s="39">
        <f>AX135*(1-$B$15)+AY135+BB135+IF($B$19=1,AV135*'1_Assumptions'!$E$33,0)-AZ135-(BE135-AT135)</f>
        <v/>
      </c>
      <c r="BG135" s="39">
        <f>N135/(1+$B135)^(1-0.5*$B$23)+Y135/(1+$B135)^(2-0.5*$B$23)+AJ135/(1+$B135)^(3-0.5*$B$23)+AU135/(1+$B135)^(4-0.5*$B$23)+BF135/(1+$B135)^(5-0.5*$B$23)</f>
        <v/>
      </c>
      <c r="BH135" s="39">
        <f>BE135+BA135+BC135+$B$9+IF($B$17=1,BD135,0)</f>
        <v/>
      </c>
      <c r="BI135" s="19">
        <f>IF($B$32=2,$B135+$B$33,IF(BH135=0,0,BL135/BH135))</f>
        <v/>
      </c>
      <c r="BJ135" s="19">
        <f>IF(BI135=0,9,$B$22/BI135)</f>
        <v/>
      </c>
      <c r="BK135" s="55">
        <f>IF(OR(BH135&lt;=0,BI135&lt;=$B135,BJ135&gt;=1,BJ135&lt;0),1,0)</f>
        <v/>
      </c>
      <c r="BL135" s="39">
        <f>AX135*(1-$B$20)</f>
        <v/>
      </c>
      <c r="BM135" s="39">
        <f>IF(BK135=1,BL135,AX135*(1+$B$22)*(1-$B$20)*(1-BJ135))</f>
        <v/>
      </c>
      <c r="BN135" s="39">
        <f>IF(BK135=1,BL135/$B135,BM135/($B135-$B$22))</f>
        <v/>
      </c>
      <c r="BO135" s="39">
        <f>BN135/(1+$B135)^(5-0.5*$B$23)</f>
        <v/>
      </c>
      <c r="BP135" s="39">
        <f>BG135+BO135</f>
        <v/>
      </c>
      <c r="BQ135" s="39">
        <f>BP135*(1+$B135)^$B$24-N135*$B$24*(1+$B135)^($B$24/2)</f>
        <v/>
      </c>
      <c r="BR135" s="39">
        <f>BQ135-$B$25+$B$26+$B$27</f>
        <v/>
      </c>
      <c r="BS135" s="39">
        <f>IF($B$28=1,$B$30,BR135*$B$29)</f>
        <v/>
      </c>
      <c r="BT135" s="39">
        <f>BR135-BS135</f>
        <v/>
      </c>
      <c r="BU135" s="58">
        <f>BT135/$B$31</f>
        <v/>
      </c>
    </row>
    <row r="136">
      <c r="A136" s="17" t="inlineStr">
        <is>
          <t>3-2</t>
        </is>
      </c>
      <c r="B136" s="26">
        <f>$B$21+0.0</f>
        <v/>
      </c>
      <c r="C136" s="26" t="n">
        <v>-0.02</v>
      </c>
      <c r="D136" s="39">
        <f>$B$5*(1+'1_Assumptions'!$E$11)</f>
        <v/>
      </c>
      <c r="E136" s="39">
        <f>D136*(1-('1_Assumptions'!$E$17+IF('1_Assumptions'!$B$39=1,0,$C136)))</f>
        <v/>
      </c>
      <c r="F136" s="39">
        <f>D136-E136-D136*$B$11+D136*$B$12</f>
        <v/>
      </c>
      <c r="G136" s="39">
        <f>$B$6*$B$13</f>
        <v/>
      </c>
      <c r="H136" s="39">
        <f>D136*'1_Assumptions'!$E$23</f>
        <v/>
      </c>
      <c r="I136" s="39">
        <f>$B$6+H136-G136</f>
        <v/>
      </c>
      <c r="J136" s="39">
        <f>D136*$B$14</f>
        <v/>
      </c>
      <c r="K136" s="39">
        <f>$B$7-J136</f>
        <v/>
      </c>
      <c r="L136" s="39">
        <f>$B$8+D136*$B$16-$B$8/$B$18</f>
        <v/>
      </c>
      <c r="M136" s="39">
        <f>D136*'1_Assumptions'!$B$56/365+E136*'1_Assumptions'!$B$57/365+D136*'1_Assumptions'!$B$54-E136*'1_Assumptions'!$B$58/365-D136*'1_Assumptions'!$B$55</f>
        <v/>
      </c>
      <c r="N136" s="39">
        <f>F136*(1-$B$15)+G136+J136+IF($B$19=1,D136*'1_Assumptions'!$E$29,0)-H136-(M136-$B$10)</f>
        <v/>
      </c>
      <c r="O136" s="39">
        <f>D136*(1+'1_Assumptions'!$E$12)</f>
        <v/>
      </c>
      <c r="P136" s="39">
        <f>O136*(1-('1_Assumptions'!$E$18+$C136))</f>
        <v/>
      </c>
      <c r="Q136" s="39">
        <f>O136-P136-O136*$B$11+O136*$B$12</f>
        <v/>
      </c>
      <c r="R136" s="39">
        <f>I136*$B$13</f>
        <v/>
      </c>
      <c r="S136" s="39">
        <f>O136*'1_Assumptions'!$E$24</f>
        <v/>
      </c>
      <c r="T136" s="39">
        <f>I136+S136-R136</f>
        <v/>
      </c>
      <c r="U136" s="39">
        <f>O136*$B$14</f>
        <v/>
      </c>
      <c r="V136" s="39">
        <f>K136-U136</f>
        <v/>
      </c>
      <c r="W136" s="39">
        <f>L136+O136*$B$16-L136/$B$18</f>
        <v/>
      </c>
      <c r="X136" s="39">
        <f>O136*'1_Assumptions'!$B$56/365+P136*'1_Assumptions'!$B$57/365+O136*'1_Assumptions'!$B$54-P136*'1_Assumptions'!$B$58/365-O136*'1_Assumptions'!$B$55</f>
        <v/>
      </c>
      <c r="Y136" s="39">
        <f>Q136*(1-$B$15)+R136+U136+IF($B$19=1,O136*'1_Assumptions'!$E$30,0)-S136-(X136-M136)</f>
        <v/>
      </c>
      <c r="Z136" s="39">
        <f>O136*(1+'1_Assumptions'!$E$13)</f>
        <v/>
      </c>
      <c r="AA136" s="39">
        <f>Z136*(1-('1_Assumptions'!$E$19+$C136))</f>
        <v/>
      </c>
      <c r="AB136" s="39">
        <f>Z136-AA136-Z136*$B$11+Z136*$B$12</f>
        <v/>
      </c>
      <c r="AC136" s="39">
        <f>T136*$B$13</f>
        <v/>
      </c>
      <c r="AD136" s="39">
        <f>Z136*'1_Assumptions'!$E$25</f>
        <v/>
      </c>
      <c r="AE136" s="39">
        <f>T136+AD136-AC136</f>
        <v/>
      </c>
      <c r="AF136" s="39">
        <f>Z136*$B$14</f>
        <v/>
      </c>
      <c r="AG136" s="39">
        <f>V136-AF136</f>
        <v/>
      </c>
      <c r="AH136" s="39">
        <f>W136+Z136*$B$16-W136/$B$18</f>
        <v/>
      </c>
      <c r="AI136" s="39">
        <f>Z136*'1_Assumptions'!$B$56/365+AA136*'1_Assumptions'!$B$57/365+Z136*'1_Assumptions'!$B$54-AA136*'1_Assumptions'!$B$58/365-Z136*'1_Assumptions'!$B$55</f>
        <v/>
      </c>
      <c r="AJ136" s="39">
        <f>AB136*(1-$B$15)+AC136+AF136+IF($B$19=1,Z136*'1_Assumptions'!$E$31,0)-AD136-(AI136-X136)</f>
        <v/>
      </c>
      <c r="AK136" s="39">
        <f>Z136*(1+'1_Assumptions'!$E$14)</f>
        <v/>
      </c>
      <c r="AL136" s="39">
        <f>AK136*(1-('1_Assumptions'!$E$20+$C136))</f>
        <v/>
      </c>
      <c r="AM136" s="39">
        <f>AK136-AL136-AK136*$B$11+AK136*$B$12</f>
        <v/>
      </c>
      <c r="AN136" s="39">
        <f>AE136*$B$13</f>
        <v/>
      </c>
      <c r="AO136" s="39">
        <f>AK136*'1_Assumptions'!$E$26</f>
        <v/>
      </c>
      <c r="AP136" s="39">
        <f>AE136+AO136-AN136</f>
        <v/>
      </c>
      <c r="AQ136" s="39">
        <f>AK136*$B$14</f>
        <v/>
      </c>
      <c r="AR136" s="39">
        <f>AG136-AQ136</f>
        <v/>
      </c>
      <c r="AS136" s="39">
        <f>AH136+AK136*$B$16-AH136/$B$18</f>
        <v/>
      </c>
      <c r="AT136" s="39">
        <f>AK136*'1_Assumptions'!$B$56/365+AL136*'1_Assumptions'!$B$57/365+AK136*'1_Assumptions'!$B$54-AL136*'1_Assumptions'!$B$58/365-AK136*'1_Assumptions'!$B$55</f>
        <v/>
      </c>
      <c r="AU136" s="39">
        <f>AM136*(1-$B$15)+AN136+AQ136+IF($B$19=1,AK136*'1_Assumptions'!$E$32,0)-AO136-(AT136-AI136)</f>
        <v/>
      </c>
      <c r="AV136" s="39">
        <f>AK136*(1+'1_Assumptions'!$E$15)</f>
        <v/>
      </c>
      <c r="AW136" s="39">
        <f>AV136*(1-('1_Assumptions'!$E$21+$C136))</f>
        <v/>
      </c>
      <c r="AX136" s="39">
        <f>AV136-AW136-AV136*$B$11+AV136*$B$12</f>
        <v/>
      </c>
      <c r="AY136" s="39">
        <f>AP136*$B$13</f>
        <v/>
      </c>
      <c r="AZ136" s="39">
        <f>AV136*'1_Assumptions'!$E$27</f>
        <v/>
      </c>
      <c r="BA136" s="39">
        <f>AP136+AZ136-AY136</f>
        <v/>
      </c>
      <c r="BB136" s="39">
        <f>AV136*$B$14</f>
        <v/>
      </c>
      <c r="BC136" s="39">
        <f>AR136-BB136</f>
        <v/>
      </c>
      <c r="BD136" s="39">
        <f>AS136+AV136*$B$16-AS136/$B$18</f>
        <v/>
      </c>
      <c r="BE136" s="39">
        <f>AV136*'1_Assumptions'!$B$56/365+AW136*'1_Assumptions'!$B$57/365+AV136*'1_Assumptions'!$B$54-AW136*'1_Assumptions'!$B$58/365-AV136*'1_Assumptions'!$B$55</f>
        <v/>
      </c>
      <c r="BF136" s="39">
        <f>AX136*(1-$B$15)+AY136+BB136+IF($B$19=1,AV136*'1_Assumptions'!$E$33,0)-AZ136-(BE136-AT136)</f>
        <v/>
      </c>
      <c r="BG136" s="39">
        <f>N136/(1+$B136)^(1-0.5*$B$23)+Y136/(1+$B136)^(2-0.5*$B$23)+AJ136/(1+$B136)^(3-0.5*$B$23)+AU136/(1+$B136)^(4-0.5*$B$23)+BF136/(1+$B136)^(5-0.5*$B$23)</f>
        <v/>
      </c>
      <c r="BH136" s="39">
        <f>BE136+BA136+BC136+$B$9+IF($B$17=1,BD136,0)</f>
        <v/>
      </c>
      <c r="BI136" s="19">
        <f>IF($B$32=2,$B136+$B$33,IF(BH136=0,0,BL136/BH136))</f>
        <v/>
      </c>
      <c r="BJ136" s="19">
        <f>IF(BI136=0,9,$B$22/BI136)</f>
        <v/>
      </c>
      <c r="BK136" s="55">
        <f>IF(OR(BH136&lt;=0,BI136&lt;=$B136,BJ136&gt;=1,BJ136&lt;0),1,0)</f>
        <v/>
      </c>
      <c r="BL136" s="39">
        <f>AX136*(1-$B$20)</f>
        <v/>
      </c>
      <c r="BM136" s="39">
        <f>IF(BK136=1,BL136,AX136*(1+$B$22)*(1-$B$20)*(1-BJ136))</f>
        <v/>
      </c>
      <c r="BN136" s="39">
        <f>IF(BK136=1,BL136/$B136,BM136/($B136-$B$22))</f>
        <v/>
      </c>
      <c r="BO136" s="39">
        <f>BN136/(1+$B136)^(5-0.5*$B$23)</f>
        <v/>
      </c>
      <c r="BP136" s="39">
        <f>BG136+BO136</f>
        <v/>
      </c>
      <c r="BQ136" s="39">
        <f>BP136*(1+$B136)^$B$24-N136*$B$24*(1+$B136)^($B$24/2)</f>
        <v/>
      </c>
      <c r="BR136" s="39">
        <f>BQ136-$B$25+$B$26+$B$27</f>
        <v/>
      </c>
      <c r="BS136" s="39">
        <f>IF($B$28=1,$B$30,BR136*$B$29)</f>
        <v/>
      </c>
      <c r="BT136" s="39">
        <f>BR136-BS136</f>
        <v/>
      </c>
      <c r="BU136" s="58">
        <f>BT136/$B$31</f>
        <v/>
      </c>
    </row>
    <row r="137">
      <c r="A137" s="17" t="inlineStr">
        <is>
          <t>3-3</t>
        </is>
      </c>
      <c r="B137" s="26">
        <f>$B$21+0.0</f>
        <v/>
      </c>
      <c r="C137" s="26" t="n">
        <v>0</v>
      </c>
      <c r="D137" s="39">
        <f>$B$5*(1+'1_Assumptions'!$E$11)</f>
        <v/>
      </c>
      <c r="E137" s="39">
        <f>D137*(1-('1_Assumptions'!$E$17+IF('1_Assumptions'!$B$39=1,0,$C137)))</f>
        <v/>
      </c>
      <c r="F137" s="39">
        <f>D137-E137-D137*$B$11+D137*$B$12</f>
        <v/>
      </c>
      <c r="G137" s="39">
        <f>$B$6*$B$13</f>
        <v/>
      </c>
      <c r="H137" s="39">
        <f>D137*'1_Assumptions'!$E$23</f>
        <v/>
      </c>
      <c r="I137" s="39">
        <f>$B$6+H137-G137</f>
        <v/>
      </c>
      <c r="J137" s="39">
        <f>D137*$B$14</f>
        <v/>
      </c>
      <c r="K137" s="39">
        <f>$B$7-J137</f>
        <v/>
      </c>
      <c r="L137" s="39">
        <f>$B$8+D137*$B$16-$B$8/$B$18</f>
        <v/>
      </c>
      <c r="M137" s="39">
        <f>D137*'1_Assumptions'!$B$56/365+E137*'1_Assumptions'!$B$57/365+D137*'1_Assumptions'!$B$54-E137*'1_Assumptions'!$B$58/365-D137*'1_Assumptions'!$B$55</f>
        <v/>
      </c>
      <c r="N137" s="39">
        <f>F137*(1-$B$15)+G137+J137+IF($B$19=1,D137*'1_Assumptions'!$E$29,0)-H137-(M137-$B$10)</f>
        <v/>
      </c>
      <c r="O137" s="39">
        <f>D137*(1+'1_Assumptions'!$E$12)</f>
        <v/>
      </c>
      <c r="P137" s="39">
        <f>O137*(1-('1_Assumptions'!$E$18+$C137))</f>
        <v/>
      </c>
      <c r="Q137" s="39">
        <f>O137-P137-O137*$B$11+O137*$B$12</f>
        <v/>
      </c>
      <c r="R137" s="39">
        <f>I137*$B$13</f>
        <v/>
      </c>
      <c r="S137" s="39">
        <f>O137*'1_Assumptions'!$E$24</f>
        <v/>
      </c>
      <c r="T137" s="39">
        <f>I137+S137-R137</f>
        <v/>
      </c>
      <c r="U137" s="39">
        <f>O137*$B$14</f>
        <v/>
      </c>
      <c r="V137" s="39">
        <f>K137-U137</f>
        <v/>
      </c>
      <c r="W137" s="39">
        <f>L137+O137*$B$16-L137/$B$18</f>
        <v/>
      </c>
      <c r="X137" s="39">
        <f>O137*'1_Assumptions'!$B$56/365+P137*'1_Assumptions'!$B$57/365+O137*'1_Assumptions'!$B$54-P137*'1_Assumptions'!$B$58/365-O137*'1_Assumptions'!$B$55</f>
        <v/>
      </c>
      <c r="Y137" s="39">
        <f>Q137*(1-$B$15)+R137+U137+IF($B$19=1,O137*'1_Assumptions'!$E$30,0)-S137-(X137-M137)</f>
        <v/>
      </c>
      <c r="Z137" s="39">
        <f>O137*(1+'1_Assumptions'!$E$13)</f>
        <v/>
      </c>
      <c r="AA137" s="39">
        <f>Z137*(1-('1_Assumptions'!$E$19+$C137))</f>
        <v/>
      </c>
      <c r="AB137" s="39">
        <f>Z137-AA137-Z137*$B$11+Z137*$B$12</f>
        <v/>
      </c>
      <c r="AC137" s="39">
        <f>T137*$B$13</f>
        <v/>
      </c>
      <c r="AD137" s="39">
        <f>Z137*'1_Assumptions'!$E$25</f>
        <v/>
      </c>
      <c r="AE137" s="39">
        <f>T137+AD137-AC137</f>
        <v/>
      </c>
      <c r="AF137" s="39">
        <f>Z137*$B$14</f>
        <v/>
      </c>
      <c r="AG137" s="39">
        <f>V137-AF137</f>
        <v/>
      </c>
      <c r="AH137" s="39">
        <f>W137+Z137*$B$16-W137/$B$18</f>
        <v/>
      </c>
      <c r="AI137" s="39">
        <f>Z137*'1_Assumptions'!$B$56/365+AA137*'1_Assumptions'!$B$57/365+Z137*'1_Assumptions'!$B$54-AA137*'1_Assumptions'!$B$58/365-Z137*'1_Assumptions'!$B$55</f>
        <v/>
      </c>
      <c r="AJ137" s="39">
        <f>AB137*(1-$B$15)+AC137+AF137+IF($B$19=1,Z137*'1_Assumptions'!$E$31,0)-AD137-(AI137-X137)</f>
        <v/>
      </c>
      <c r="AK137" s="39">
        <f>Z137*(1+'1_Assumptions'!$E$14)</f>
        <v/>
      </c>
      <c r="AL137" s="39">
        <f>AK137*(1-('1_Assumptions'!$E$20+$C137))</f>
        <v/>
      </c>
      <c r="AM137" s="39">
        <f>AK137-AL137-AK137*$B$11+AK137*$B$12</f>
        <v/>
      </c>
      <c r="AN137" s="39">
        <f>AE137*$B$13</f>
        <v/>
      </c>
      <c r="AO137" s="39">
        <f>AK137*'1_Assumptions'!$E$26</f>
        <v/>
      </c>
      <c r="AP137" s="39">
        <f>AE137+AO137-AN137</f>
        <v/>
      </c>
      <c r="AQ137" s="39">
        <f>AK137*$B$14</f>
        <v/>
      </c>
      <c r="AR137" s="39">
        <f>AG137-AQ137</f>
        <v/>
      </c>
      <c r="AS137" s="39">
        <f>AH137+AK137*$B$16-AH137/$B$18</f>
        <v/>
      </c>
      <c r="AT137" s="39">
        <f>AK137*'1_Assumptions'!$B$56/365+AL137*'1_Assumptions'!$B$57/365+AK137*'1_Assumptions'!$B$54-AL137*'1_Assumptions'!$B$58/365-AK137*'1_Assumptions'!$B$55</f>
        <v/>
      </c>
      <c r="AU137" s="39">
        <f>AM137*(1-$B$15)+AN137+AQ137+IF($B$19=1,AK137*'1_Assumptions'!$E$32,0)-AO137-(AT137-AI137)</f>
        <v/>
      </c>
      <c r="AV137" s="39">
        <f>AK137*(1+'1_Assumptions'!$E$15)</f>
        <v/>
      </c>
      <c r="AW137" s="39">
        <f>AV137*(1-('1_Assumptions'!$E$21+$C137))</f>
        <v/>
      </c>
      <c r="AX137" s="39">
        <f>AV137-AW137-AV137*$B$11+AV137*$B$12</f>
        <v/>
      </c>
      <c r="AY137" s="39">
        <f>AP137*$B$13</f>
        <v/>
      </c>
      <c r="AZ137" s="39">
        <f>AV137*'1_Assumptions'!$E$27</f>
        <v/>
      </c>
      <c r="BA137" s="39">
        <f>AP137+AZ137-AY137</f>
        <v/>
      </c>
      <c r="BB137" s="39">
        <f>AV137*$B$14</f>
        <v/>
      </c>
      <c r="BC137" s="39">
        <f>AR137-BB137</f>
        <v/>
      </c>
      <c r="BD137" s="39">
        <f>AS137+AV137*$B$16-AS137/$B$18</f>
        <v/>
      </c>
      <c r="BE137" s="39">
        <f>AV137*'1_Assumptions'!$B$56/365+AW137*'1_Assumptions'!$B$57/365+AV137*'1_Assumptions'!$B$54-AW137*'1_Assumptions'!$B$58/365-AV137*'1_Assumptions'!$B$55</f>
        <v/>
      </c>
      <c r="BF137" s="39">
        <f>AX137*(1-$B$15)+AY137+BB137+IF($B$19=1,AV137*'1_Assumptions'!$E$33,0)-AZ137-(BE137-AT137)</f>
        <v/>
      </c>
      <c r="BG137" s="39">
        <f>N137/(1+$B137)^(1-0.5*$B$23)+Y137/(1+$B137)^(2-0.5*$B$23)+AJ137/(1+$B137)^(3-0.5*$B$23)+AU137/(1+$B137)^(4-0.5*$B$23)+BF137/(1+$B137)^(5-0.5*$B$23)</f>
        <v/>
      </c>
      <c r="BH137" s="39">
        <f>BE137+BA137+BC137+$B$9+IF($B$17=1,BD137,0)</f>
        <v/>
      </c>
      <c r="BI137" s="19">
        <f>IF($B$32=2,$B137+$B$33,IF(BH137=0,0,BL137/BH137))</f>
        <v/>
      </c>
      <c r="BJ137" s="19">
        <f>IF(BI137=0,9,$B$22/BI137)</f>
        <v/>
      </c>
      <c r="BK137" s="55">
        <f>IF(OR(BH137&lt;=0,BI137&lt;=$B137,BJ137&gt;=1,BJ137&lt;0),1,0)</f>
        <v/>
      </c>
      <c r="BL137" s="39">
        <f>AX137*(1-$B$20)</f>
        <v/>
      </c>
      <c r="BM137" s="39">
        <f>IF(BK137=1,BL137,AX137*(1+$B$22)*(1-$B$20)*(1-BJ137))</f>
        <v/>
      </c>
      <c r="BN137" s="39">
        <f>IF(BK137=1,BL137/$B137,BM137/($B137-$B$22))</f>
        <v/>
      </c>
      <c r="BO137" s="39">
        <f>BN137/(1+$B137)^(5-0.5*$B$23)</f>
        <v/>
      </c>
      <c r="BP137" s="39">
        <f>BG137+BO137</f>
        <v/>
      </c>
      <c r="BQ137" s="39">
        <f>BP137*(1+$B137)^$B$24-N137*$B$24*(1+$B137)^($B$24/2)</f>
        <v/>
      </c>
      <c r="BR137" s="39">
        <f>BQ137-$B$25+$B$26+$B$27</f>
        <v/>
      </c>
      <c r="BS137" s="39">
        <f>IF($B$28=1,$B$30,BR137*$B$29)</f>
        <v/>
      </c>
      <c r="BT137" s="39">
        <f>BR137-BS137</f>
        <v/>
      </c>
      <c r="BU137" s="58">
        <f>BT137/$B$31</f>
        <v/>
      </c>
    </row>
    <row r="138">
      <c r="A138" s="17" t="inlineStr">
        <is>
          <t>3-4</t>
        </is>
      </c>
      <c r="B138" s="26">
        <f>$B$21+0.0</f>
        <v/>
      </c>
      <c r="C138" s="26" t="n">
        <v>0.02</v>
      </c>
      <c r="D138" s="39">
        <f>$B$5*(1+'1_Assumptions'!$E$11)</f>
        <v/>
      </c>
      <c r="E138" s="39">
        <f>D138*(1-('1_Assumptions'!$E$17+IF('1_Assumptions'!$B$39=1,0,$C138)))</f>
        <v/>
      </c>
      <c r="F138" s="39">
        <f>D138-E138-D138*$B$11+D138*$B$12</f>
        <v/>
      </c>
      <c r="G138" s="39">
        <f>$B$6*$B$13</f>
        <v/>
      </c>
      <c r="H138" s="39">
        <f>D138*'1_Assumptions'!$E$23</f>
        <v/>
      </c>
      <c r="I138" s="39">
        <f>$B$6+H138-G138</f>
        <v/>
      </c>
      <c r="J138" s="39">
        <f>D138*$B$14</f>
        <v/>
      </c>
      <c r="K138" s="39">
        <f>$B$7-J138</f>
        <v/>
      </c>
      <c r="L138" s="39">
        <f>$B$8+D138*$B$16-$B$8/$B$18</f>
        <v/>
      </c>
      <c r="M138" s="39">
        <f>D138*'1_Assumptions'!$B$56/365+E138*'1_Assumptions'!$B$57/365+D138*'1_Assumptions'!$B$54-E138*'1_Assumptions'!$B$58/365-D138*'1_Assumptions'!$B$55</f>
        <v/>
      </c>
      <c r="N138" s="39">
        <f>F138*(1-$B$15)+G138+J138+IF($B$19=1,D138*'1_Assumptions'!$E$29,0)-H138-(M138-$B$10)</f>
        <v/>
      </c>
      <c r="O138" s="39">
        <f>D138*(1+'1_Assumptions'!$E$12)</f>
        <v/>
      </c>
      <c r="P138" s="39">
        <f>O138*(1-('1_Assumptions'!$E$18+$C138))</f>
        <v/>
      </c>
      <c r="Q138" s="39">
        <f>O138-P138-O138*$B$11+O138*$B$12</f>
        <v/>
      </c>
      <c r="R138" s="39">
        <f>I138*$B$13</f>
        <v/>
      </c>
      <c r="S138" s="39">
        <f>O138*'1_Assumptions'!$E$24</f>
        <v/>
      </c>
      <c r="T138" s="39">
        <f>I138+S138-R138</f>
        <v/>
      </c>
      <c r="U138" s="39">
        <f>O138*$B$14</f>
        <v/>
      </c>
      <c r="V138" s="39">
        <f>K138-U138</f>
        <v/>
      </c>
      <c r="W138" s="39">
        <f>L138+O138*$B$16-L138/$B$18</f>
        <v/>
      </c>
      <c r="X138" s="39">
        <f>O138*'1_Assumptions'!$B$56/365+P138*'1_Assumptions'!$B$57/365+O138*'1_Assumptions'!$B$54-P138*'1_Assumptions'!$B$58/365-O138*'1_Assumptions'!$B$55</f>
        <v/>
      </c>
      <c r="Y138" s="39">
        <f>Q138*(1-$B$15)+R138+U138+IF($B$19=1,O138*'1_Assumptions'!$E$30,0)-S138-(X138-M138)</f>
        <v/>
      </c>
      <c r="Z138" s="39">
        <f>O138*(1+'1_Assumptions'!$E$13)</f>
        <v/>
      </c>
      <c r="AA138" s="39">
        <f>Z138*(1-('1_Assumptions'!$E$19+$C138))</f>
        <v/>
      </c>
      <c r="AB138" s="39">
        <f>Z138-AA138-Z138*$B$11+Z138*$B$12</f>
        <v/>
      </c>
      <c r="AC138" s="39">
        <f>T138*$B$13</f>
        <v/>
      </c>
      <c r="AD138" s="39">
        <f>Z138*'1_Assumptions'!$E$25</f>
        <v/>
      </c>
      <c r="AE138" s="39">
        <f>T138+AD138-AC138</f>
        <v/>
      </c>
      <c r="AF138" s="39">
        <f>Z138*$B$14</f>
        <v/>
      </c>
      <c r="AG138" s="39">
        <f>V138-AF138</f>
        <v/>
      </c>
      <c r="AH138" s="39">
        <f>W138+Z138*$B$16-W138/$B$18</f>
        <v/>
      </c>
      <c r="AI138" s="39">
        <f>Z138*'1_Assumptions'!$B$56/365+AA138*'1_Assumptions'!$B$57/365+Z138*'1_Assumptions'!$B$54-AA138*'1_Assumptions'!$B$58/365-Z138*'1_Assumptions'!$B$55</f>
        <v/>
      </c>
      <c r="AJ138" s="39">
        <f>AB138*(1-$B$15)+AC138+AF138+IF($B$19=1,Z138*'1_Assumptions'!$E$31,0)-AD138-(AI138-X138)</f>
        <v/>
      </c>
      <c r="AK138" s="39">
        <f>Z138*(1+'1_Assumptions'!$E$14)</f>
        <v/>
      </c>
      <c r="AL138" s="39">
        <f>AK138*(1-('1_Assumptions'!$E$20+$C138))</f>
        <v/>
      </c>
      <c r="AM138" s="39">
        <f>AK138-AL138-AK138*$B$11+AK138*$B$12</f>
        <v/>
      </c>
      <c r="AN138" s="39">
        <f>AE138*$B$13</f>
        <v/>
      </c>
      <c r="AO138" s="39">
        <f>AK138*'1_Assumptions'!$E$26</f>
        <v/>
      </c>
      <c r="AP138" s="39">
        <f>AE138+AO138-AN138</f>
        <v/>
      </c>
      <c r="AQ138" s="39">
        <f>AK138*$B$14</f>
        <v/>
      </c>
      <c r="AR138" s="39">
        <f>AG138-AQ138</f>
        <v/>
      </c>
      <c r="AS138" s="39">
        <f>AH138+AK138*$B$16-AH138/$B$18</f>
        <v/>
      </c>
      <c r="AT138" s="39">
        <f>AK138*'1_Assumptions'!$B$56/365+AL138*'1_Assumptions'!$B$57/365+AK138*'1_Assumptions'!$B$54-AL138*'1_Assumptions'!$B$58/365-AK138*'1_Assumptions'!$B$55</f>
        <v/>
      </c>
      <c r="AU138" s="39">
        <f>AM138*(1-$B$15)+AN138+AQ138+IF($B$19=1,AK138*'1_Assumptions'!$E$32,0)-AO138-(AT138-AI138)</f>
        <v/>
      </c>
      <c r="AV138" s="39">
        <f>AK138*(1+'1_Assumptions'!$E$15)</f>
        <v/>
      </c>
      <c r="AW138" s="39">
        <f>AV138*(1-('1_Assumptions'!$E$21+$C138))</f>
        <v/>
      </c>
      <c r="AX138" s="39">
        <f>AV138-AW138-AV138*$B$11+AV138*$B$12</f>
        <v/>
      </c>
      <c r="AY138" s="39">
        <f>AP138*$B$13</f>
        <v/>
      </c>
      <c r="AZ138" s="39">
        <f>AV138*'1_Assumptions'!$E$27</f>
        <v/>
      </c>
      <c r="BA138" s="39">
        <f>AP138+AZ138-AY138</f>
        <v/>
      </c>
      <c r="BB138" s="39">
        <f>AV138*$B$14</f>
        <v/>
      </c>
      <c r="BC138" s="39">
        <f>AR138-BB138</f>
        <v/>
      </c>
      <c r="BD138" s="39">
        <f>AS138+AV138*$B$16-AS138/$B$18</f>
        <v/>
      </c>
      <c r="BE138" s="39">
        <f>AV138*'1_Assumptions'!$B$56/365+AW138*'1_Assumptions'!$B$57/365+AV138*'1_Assumptions'!$B$54-AW138*'1_Assumptions'!$B$58/365-AV138*'1_Assumptions'!$B$55</f>
        <v/>
      </c>
      <c r="BF138" s="39">
        <f>AX138*(1-$B$15)+AY138+BB138+IF($B$19=1,AV138*'1_Assumptions'!$E$33,0)-AZ138-(BE138-AT138)</f>
        <v/>
      </c>
      <c r="BG138" s="39">
        <f>N138/(1+$B138)^(1-0.5*$B$23)+Y138/(1+$B138)^(2-0.5*$B$23)+AJ138/(1+$B138)^(3-0.5*$B$23)+AU138/(1+$B138)^(4-0.5*$B$23)+BF138/(1+$B138)^(5-0.5*$B$23)</f>
        <v/>
      </c>
      <c r="BH138" s="39">
        <f>BE138+BA138+BC138+$B$9+IF($B$17=1,BD138,0)</f>
        <v/>
      </c>
      <c r="BI138" s="19">
        <f>IF($B$32=2,$B138+$B$33,IF(BH138=0,0,BL138/BH138))</f>
        <v/>
      </c>
      <c r="BJ138" s="19">
        <f>IF(BI138=0,9,$B$22/BI138)</f>
        <v/>
      </c>
      <c r="BK138" s="55">
        <f>IF(OR(BH138&lt;=0,BI138&lt;=$B138,BJ138&gt;=1,BJ138&lt;0),1,0)</f>
        <v/>
      </c>
      <c r="BL138" s="39">
        <f>AX138*(1-$B$20)</f>
        <v/>
      </c>
      <c r="BM138" s="39">
        <f>IF(BK138=1,BL138,AX138*(1+$B$22)*(1-$B$20)*(1-BJ138))</f>
        <v/>
      </c>
      <c r="BN138" s="39">
        <f>IF(BK138=1,BL138/$B138,BM138/($B138-$B$22))</f>
        <v/>
      </c>
      <c r="BO138" s="39">
        <f>BN138/(1+$B138)^(5-0.5*$B$23)</f>
        <v/>
      </c>
      <c r="BP138" s="39">
        <f>BG138+BO138</f>
        <v/>
      </c>
      <c r="BQ138" s="39">
        <f>BP138*(1+$B138)^$B$24-N138*$B$24*(1+$B138)^($B$24/2)</f>
        <v/>
      </c>
      <c r="BR138" s="39">
        <f>BQ138-$B$25+$B$26+$B$27</f>
        <v/>
      </c>
      <c r="BS138" s="39">
        <f>IF($B$28=1,$B$30,BR138*$B$29)</f>
        <v/>
      </c>
      <c r="BT138" s="39">
        <f>BR138-BS138</f>
        <v/>
      </c>
      <c r="BU138" s="58">
        <f>BT138/$B$31</f>
        <v/>
      </c>
    </row>
    <row r="139">
      <c r="A139" s="17" t="inlineStr">
        <is>
          <t>3-5</t>
        </is>
      </c>
      <c r="B139" s="26">
        <f>$B$21+0.0</f>
        <v/>
      </c>
      <c r="C139" s="26" t="n">
        <v>0.04</v>
      </c>
      <c r="D139" s="39">
        <f>$B$5*(1+'1_Assumptions'!$E$11)</f>
        <v/>
      </c>
      <c r="E139" s="39">
        <f>D139*(1-('1_Assumptions'!$E$17+IF('1_Assumptions'!$B$39=1,0,$C139)))</f>
        <v/>
      </c>
      <c r="F139" s="39">
        <f>D139-E139-D139*$B$11+D139*$B$12</f>
        <v/>
      </c>
      <c r="G139" s="39">
        <f>$B$6*$B$13</f>
        <v/>
      </c>
      <c r="H139" s="39">
        <f>D139*'1_Assumptions'!$E$23</f>
        <v/>
      </c>
      <c r="I139" s="39">
        <f>$B$6+H139-G139</f>
        <v/>
      </c>
      <c r="J139" s="39">
        <f>D139*$B$14</f>
        <v/>
      </c>
      <c r="K139" s="39">
        <f>$B$7-J139</f>
        <v/>
      </c>
      <c r="L139" s="39">
        <f>$B$8+D139*$B$16-$B$8/$B$18</f>
        <v/>
      </c>
      <c r="M139" s="39">
        <f>D139*'1_Assumptions'!$B$56/365+E139*'1_Assumptions'!$B$57/365+D139*'1_Assumptions'!$B$54-E139*'1_Assumptions'!$B$58/365-D139*'1_Assumptions'!$B$55</f>
        <v/>
      </c>
      <c r="N139" s="39">
        <f>F139*(1-$B$15)+G139+J139+IF($B$19=1,D139*'1_Assumptions'!$E$29,0)-H139-(M139-$B$10)</f>
        <v/>
      </c>
      <c r="O139" s="39">
        <f>D139*(1+'1_Assumptions'!$E$12)</f>
        <v/>
      </c>
      <c r="P139" s="39">
        <f>O139*(1-('1_Assumptions'!$E$18+$C139))</f>
        <v/>
      </c>
      <c r="Q139" s="39">
        <f>O139-P139-O139*$B$11+O139*$B$12</f>
        <v/>
      </c>
      <c r="R139" s="39">
        <f>I139*$B$13</f>
        <v/>
      </c>
      <c r="S139" s="39">
        <f>O139*'1_Assumptions'!$E$24</f>
        <v/>
      </c>
      <c r="T139" s="39">
        <f>I139+S139-R139</f>
        <v/>
      </c>
      <c r="U139" s="39">
        <f>O139*$B$14</f>
        <v/>
      </c>
      <c r="V139" s="39">
        <f>K139-U139</f>
        <v/>
      </c>
      <c r="W139" s="39">
        <f>L139+O139*$B$16-L139/$B$18</f>
        <v/>
      </c>
      <c r="X139" s="39">
        <f>O139*'1_Assumptions'!$B$56/365+P139*'1_Assumptions'!$B$57/365+O139*'1_Assumptions'!$B$54-P139*'1_Assumptions'!$B$58/365-O139*'1_Assumptions'!$B$55</f>
        <v/>
      </c>
      <c r="Y139" s="39">
        <f>Q139*(1-$B$15)+R139+U139+IF($B$19=1,O139*'1_Assumptions'!$E$30,0)-S139-(X139-M139)</f>
        <v/>
      </c>
      <c r="Z139" s="39">
        <f>O139*(1+'1_Assumptions'!$E$13)</f>
        <v/>
      </c>
      <c r="AA139" s="39">
        <f>Z139*(1-('1_Assumptions'!$E$19+$C139))</f>
        <v/>
      </c>
      <c r="AB139" s="39">
        <f>Z139-AA139-Z139*$B$11+Z139*$B$12</f>
        <v/>
      </c>
      <c r="AC139" s="39">
        <f>T139*$B$13</f>
        <v/>
      </c>
      <c r="AD139" s="39">
        <f>Z139*'1_Assumptions'!$E$25</f>
        <v/>
      </c>
      <c r="AE139" s="39">
        <f>T139+AD139-AC139</f>
        <v/>
      </c>
      <c r="AF139" s="39">
        <f>Z139*$B$14</f>
        <v/>
      </c>
      <c r="AG139" s="39">
        <f>V139-AF139</f>
        <v/>
      </c>
      <c r="AH139" s="39">
        <f>W139+Z139*$B$16-W139/$B$18</f>
        <v/>
      </c>
      <c r="AI139" s="39">
        <f>Z139*'1_Assumptions'!$B$56/365+AA139*'1_Assumptions'!$B$57/365+Z139*'1_Assumptions'!$B$54-AA139*'1_Assumptions'!$B$58/365-Z139*'1_Assumptions'!$B$55</f>
        <v/>
      </c>
      <c r="AJ139" s="39">
        <f>AB139*(1-$B$15)+AC139+AF139+IF($B$19=1,Z139*'1_Assumptions'!$E$31,0)-AD139-(AI139-X139)</f>
        <v/>
      </c>
      <c r="AK139" s="39">
        <f>Z139*(1+'1_Assumptions'!$E$14)</f>
        <v/>
      </c>
      <c r="AL139" s="39">
        <f>AK139*(1-('1_Assumptions'!$E$20+$C139))</f>
        <v/>
      </c>
      <c r="AM139" s="39">
        <f>AK139-AL139-AK139*$B$11+AK139*$B$12</f>
        <v/>
      </c>
      <c r="AN139" s="39">
        <f>AE139*$B$13</f>
        <v/>
      </c>
      <c r="AO139" s="39">
        <f>AK139*'1_Assumptions'!$E$26</f>
        <v/>
      </c>
      <c r="AP139" s="39">
        <f>AE139+AO139-AN139</f>
        <v/>
      </c>
      <c r="AQ139" s="39">
        <f>AK139*$B$14</f>
        <v/>
      </c>
      <c r="AR139" s="39">
        <f>AG139-AQ139</f>
        <v/>
      </c>
      <c r="AS139" s="39">
        <f>AH139+AK139*$B$16-AH139/$B$18</f>
        <v/>
      </c>
      <c r="AT139" s="39">
        <f>AK139*'1_Assumptions'!$B$56/365+AL139*'1_Assumptions'!$B$57/365+AK139*'1_Assumptions'!$B$54-AL139*'1_Assumptions'!$B$58/365-AK139*'1_Assumptions'!$B$55</f>
        <v/>
      </c>
      <c r="AU139" s="39">
        <f>AM139*(1-$B$15)+AN139+AQ139+IF($B$19=1,AK139*'1_Assumptions'!$E$32,0)-AO139-(AT139-AI139)</f>
        <v/>
      </c>
      <c r="AV139" s="39">
        <f>AK139*(1+'1_Assumptions'!$E$15)</f>
        <v/>
      </c>
      <c r="AW139" s="39">
        <f>AV139*(1-('1_Assumptions'!$E$21+$C139))</f>
        <v/>
      </c>
      <c r="AX139" s="39">
        <f>AV139-AW139-AV139*$B$11+AV139*$B$12</f>
        <v/>
      </c>
      <c r="AY139" s="39">
        <f>AP139*$B$13</f>
        <v/>
      </c>
      <c r="AZ139" s="39">
        <f>AV139*'1_Assumptions'!$E$27</f>
        <v/>
      </c>
      <c r="BA139" s="39">
        <f>AP139+AZ139-AY139</f>
        <v/>
      </c>
      <c r="BB139" s="39">
        <f>AV139*$B$14</f>
        <v/>
      </c>
      <c r="BC139" s="39">
        <f>AR139-BB139</f>
        <v/>
      </c>
      <c r="BD139" s="39">
        <f>AS139+AV139*$B$16-AS139/$B$18</f>
        <v/>
      </c>
      <c r="BE139" s="39">
        <f>AV139*'1_Assumptions'!$B$56/365+AW139*'1_Assumptions'!$B$57/365+AV139*'1_Assumptions'!$B$54-AW139*'1_Assumptions'!$B$58/365-AV139*'1_Assumptions'!$B$55</f>
        <v/>
      </c>
      <c r="BF139" s="39">
        <f>AX139*(1-$B$15)+AY139+BB139+IF($B$19=1,AV139*'1_Assumptions'!$E$33,0)-AZ139-(BE139-AT139)</f>
        <v/>
      </c>
      <c r="BG139" s="39">
        <f>N139/(1+$B139)^(1-0.5*$B$23)+Y139/(1+$B139)^(2-0.5*$B$23)+AJ139/(1+$B139)^(3-0.5*$B$23)+AU139/(1+$B139)^(4-0.5*$B$23)+BF139/(1+$B139)^(5-0.5*$B$23)</f>
        <v/>
      </c>
      <c r="BH139" s="39">
        <f>BE139+BA139+BC139+$B$9+IF($B$17=1,BD139,0)</f>
        <v/>
      </c>
      <c r="BI139" s="19">
        <f>IF($B$32=2,$B139+$B$33,IF(BH139=0,0,BL139/BH139))</f>
        <v/>
      </c>
      <c r="BJ139" s="19">
        <f>IF(BI139=0,9,$B$22/BI139)</f>
        <v/>
      </c>
      <c r="BK139" s="55">
        <f>IF(OR(BH139&lt;=0,BI139&lt;=$B139,BJ139&gt;=1,BJ139&lt;0),1,0)</f>
        <v/>
      </c>
      <c r="BL139" s="39">
        <f>AX139*(1-$B$20)</f>
        <v/>
      </c>
      <c r="BM139" s="39">
        <f>IF(BK139=1,BL139,AX139*(1+$B$22)*(1-$B$20)*(1-BJ139))</f>
        <v/>
      </c>
      <c r="BN139" s="39">
        <f>IF(BK139=1,BL139/$B139,BM139/($B139-$B$22))</f>
        <v/>
      </c>
      <c r="BO139" s="39">
        <f>BN139/(1+$B139)^(5-0.5*$B$23)</f>
        <v/>
      </c>
      <c r="BP139" s="39">
        <f>BG139+BO139</f>
        <v/>
      </c>
      <c r="BQ139" s="39">
        <f>BP139*(1+$B139)^$B$24-N139*$B$24*(1+$B139)^($B$24/2)</f>
        <v/>
      </c>
      <c r="BR139" s="39">
        <f>BQ139-$B$25+$B$26+$B$27</f>
        <v/>
      </c>
      <c r="BS139" s="39">
        <f>IF($B$28=1,$B$30,BR139*$B$29)</f>
        <v/>
      </c>
      <c r="BT139" s="39">
        <f>BR139-BS139</f>
        <v/>
      </c>
      <c r="BU139" s="58">
        <f>BT139/$B$31</f>
        <v/>
      </c>
    </row>
    <row r="140">
      <c r="A140" s="17" t="inlineStr">
        <is>
          <t>4-1</t>
        </is>
      </c>
      <c r="B140" s="26">
        <f>$B$21+0.01</f>
        <v/>
      </c>
      <c r="C140" s="26" t="n">
        <v>-0.04</v>
      </c>
      <c r="D140" s="39">
        <f>$B$5*(1+'1_Assumptions'!$E$11)</f>
        <v/>
      </c>
      <c r="E140" s="39">
        <f>D140*(1-('1_Assumptions'!$E$17+IF('1_Assumptions'!$B$39=1,0,$C140)))</f>
        <v/>
      </c>
      <c r="F140" s="39">
        <f>D140-E140-D140*$B$11+D140*$B$12</f>
        <v/>
      </c>
      <c r="G140" s="39">
        <f>$B$6*$B$13</f>
        <v/>
      </c>
      <c r="H140" s="39">
        <f>D140*'1_Assumptions'!$E$23</f>
        <v/>
      </c>
      <c r="I140" s="39">
        <f>$B$6+H140-G140</f>
        <v/>
      </c>
      <c r="J140" s="39">
        <f>D140*$B$14</f>
        <v/>
      </c>
      <c r="K140" s="39">
        <f>$B$7-J140</f>
        <v/>
      </c>
      <c r="L140" s="39">
        <f>$B$8+D140*$B$16-$B$8/$B$18</f>
        <v/>
      </c>
      <c r="M140" s="39">
        <f>D140*'1_Assumptions'!$B$56/365+E140*'1_Assumptions'!$B$57/365+D140*'1_Assumptions'!$B$54-E140*'1_Assumptions'!$B$58/365-D140*'1_Assumptions'!$B$55</f>
        <v/>
      </c>
      <c r="N140" s="39">
        <f>F140*(1-$B$15)+G140+J140+IF($B$19=1,D140*'1_Assumptions'!$E$29,0)-H140-(M140-$B$10)</f>
        <v/>
      </c>
      <c r="O140" s="39">
        <f>D140*(1+'1_Assumptions'!$E$12)</f>
        <v/>
      </c>
      <c r="P140" s="39">
        <f>O140*(1-('1_Assumptions'!$E$18+$C140))</f>
        <v/>
      </c>
      <c r="Q140" s="39">
        <f>O140-P140-O140*$B$11+O140*$B$12</f>
        <v/>
      </c>
      <c r="R140" s="39">
        <f>I140*$B$13</f>
        <v/>
      </c>
      <c r="S140" s="39">
        <f>O140*'1_Assumptions'!$E$24</f>
        <v/>
      </c>
      <c r="T140" s="39">
        <f>I140+S140-R140</f>
        <v/>
      </c>
      <c r="U140" s="39">
        <f>O140*$B$14</f>
        <v/>
      </c>
      <c r="V140" s="39">
        <f>K140-U140</f>
        <v/>
      </c>
      <c r="W140" s="39">
        <f>L140+O140*$B$16-L140/$B$18</f>
        <v/>
      </c>
      <c r="X140" s="39">
        <f>O140*'1_Assumptions'!$B$56/365+P140*'1_Assumptions'!$B$57/365+O140*'1_Assumptions'!$B$54-P140*'1_Assumptions'!$B$58/365-O140*'1_Assumptions'!$B$55</f>
        <v/>
      </c>
      <c r="Y140" s="39">
        <f>Q140*(1-$B$15)+R140+U140+IF($B$19=1,O140*'1_Assumptions'!$E$30,0)-S140-(X140-M140)</f>
        <v/>
      </c>
      <c r="Z140" s="39">
        <f>O140*(1+'1_Assumptions'!$E$13)</f>
        <v/>
      </c>
      <c r="AA140" s="39">
        <f>Z140*(1-('1_Assumptions'!$E$19+$C140))</f>
        <v/>
      </c>
      <c r="AB140" s="39">
        <f>Z140-AA140-Z140*$B$11+Z140*$B$12</f>
        <v/>
      </c>
      <c r="AC140" s="39">
        <f>T140*$B$13</f>
        <v/>
      </c>
      <c r="AD140" s="39">
        <f>Z140*'1_Assumptions'!$E$25</f>
        <v/>
      </c>
      <c r="AE140" s="39">
        <f>T140+AD140-AC140</f>
        <v/>
      </c>
      <c r="AF140" s="39">
        <f>Z140*$B$14</f>
        <v/>
      </c>
      <c r="AG140" s="39">
        <f>V140-AF140</f>
        <v/>
      </c>
      <c r="AH140" s="39">
        <f>W140+Z140*$B$16-W140/$B$18</f>
        <v/>
      </c>
      <c r="AI140" s="39">
        <f>Z140*'1_Assumptions'!$B$56/365+AA140*'1_Assumptions'!$B$57/365+Z140*'1_Assumptions'!$B$54-AA140*'1_Assumptions'!$B$58/365-Z140*'1_Assumptions'!$B$55</f>
        <v/>
      </c>
      <c r="AJ140" s="39">
        <f>AB140*(1-$B$15)+AC140+AF140+IF($B$19=1,Z140*'1_Assumptions'!$E$31,0)-AD140-(AI140-X140)</f>
        <v/>
      </c>
      <c r="AK140" s="39">
        <f>Z140*(1+'1_Assumptions'!$E$14)</f>
        <v/>
      </c>
      <c r="AL140" s="39">
        <f>AK140*(1-('1_Assumptions'!$E$20+$C140))</f>
        <v/>
      </c>
      <c r="AM140" s="39">
        <f>AK140-AL140-AK140*$B$11+AK140*$B$12</f>
        <v/>
      </c>
      <c r="AN140" s="39">
        <f>AE140*$B$13</f>
        <v/>
      </c>
      <c r="AO140" s="39">
        <f>AK140*'1_Assumptions'!$E$26</f>
        <v/>
      </c>
      <c r="AP140" s="39">
        <f>AE140+AO140-AN140</f>
        <v/>
      </c>
      <c r="AQ140" s="39">
        <f>AK140*$B$14</f>
        <v/>
      </c>
      <c r="AR140" s="39">
        <f>AG140-AQ140</f>
        <v/>
      </c>
      <c r="AS140" s="39">
        <f>AH140+AK140*$B$16-AH140/$B$18</f>
        <v/>
      </c>
      <c r="AT140" s="39">
        <f>AK140*'1_Assumptions'!$B$56/365+AL140*'1_Assumptions'!$B$57/365+AK140*'1_Assumptions'!$B$54-AL140*'1_Assumptions'!$B$58/365-AK140*'1_Assumptions'!$B$55</f>
        <v/>
      </c>
      <c r="AU140" s="39">
        <f>AM140*(1-$B$15)+AN140+AQ140+IF($B$19=1,AK140*'1_Assumptions'!$E$32,0)-AO140-(AT140-AI140)</f>
        <v/>
      </c>
      <c r="AV140" s="39">
        <f>AK140*(1+'1_Assumptions'!$E$15)</f>
        <v/>
      </c>
      <c r="AW140" s="39">
        <f>AV140*(1-('1_Assumptions'!$E$21+$C140))</f>
        <v/>
      </c>
      <c r="AX140" s="39">
        <f>AV140-AW140-AV140*$B$11+AV140*$B$12</f>
        <v/>
      </c>
      <c r="AY140" s="39">
        <f>AP140*$B$13</f>
        <v/>
      </c>
      <c r="AZ140" s="39">
        <f>AV140*'1_Assumptions'!$E$27</f>
        <v/>
      </c>
      <c r="BA140" s="39">
        <f>AP140+AZ140-AY140</f>
        <v/>
      </c>
      <c r="BB140" s="39">
        <f>AV140*$B$14</f>
        <v/>
      </c>
      <c r="BC140" s="39">
        <f>AR140-BB140</f>
        <v/>
      </c>
      <c r="BD140" s="39">
        <f>AS140+AV140*$B$16-AS140/$B$18</f>
        <v/>
      </c>
      <c r="BE140" s="39">
        <f>AV140*'1_Assumptions'!$B$56/365+AW140*'1_Assumptions'!$B$57/365+AV140*'1_Assumptions'!$B$54-AW140*'1_Assumptions'!$B$58/365-AV140*'1_Assumptions'!$B$55</f>
        <v/>
      </c>
      <c r="BF140" s="39">
        <f>AX140*(1-$B$15)+AY140+BB140+IF($B$19=1,AV140*'1_Assumptions'!$E$33,0)-AZ140-(BE140-AT140)</f>
        <v/>
      </c>
      <c r="BG140" s="39">
        <f>N140/(1+$B140)^(1-0.5*$B$23)+Y140/(1+$B140)^(2-0.5*$B$23)+AJ140/(1+$B140)^(3-0.5*$B$23)+AU140/(1+$B140)^(4-0.5*$B$23)+BF140/(1+$B140)^(5-0.5*$B$23)</f>
        <v/>
      </c>
      <c r="BH140" s="39">
        <f>BE140+BA140+BC140+$B$9+IF($B$17=1,BD140,0)</f>
        <v/>
      </c>
      <c r="BI140" s="19">
        <f>IF($B$32=2,$B140+$B$33,IF(BH140=0,0,BL140/BH140))</f>
        <v/>
      </c>
      <c r="BJ140" s="19">
        <f>IF(BI140=0,9,$B$22/BI140)</f>
        <v/>
      </c>
      <c r="BK140" s="55">
        <f>IF(OR(BH140&lt;=0,BI140&lt;=$B140,BJ140&gt;=1,BJ140&lt;0),1,0)</f>
        <v/>
      </c>
      <c r="BL140" s="39">
        <f>AX140*(1-$B$20)</f>
        <v/>
      </c>
      <c r="BM140" s="39">
        <f>IF(BK140=1,BL140,AX140*(1+$B$22)*(1-$B$20)*(1-BJ140))</f>
        <v/>
      </c>
      <c r="BN140" s="39">
        <f>IF(BK140=1,BL140/$B140,BM140/($B140-$B$22))</f>
        <v/>
      </c>
      <c r="BO140" s="39">
        <f>BN140/(1+$B140)^(5-0.5*$B$23)</f>
        <v/>
      </c>
      <c r="BP140" s="39">
        <f>BG140+BO140</f>
        <v/>
      </c>
      <c r="BQ140" s="39">
        <f>BP140*(1+$B140)^$B$24-N140*$B$24*(1+$B140)^($B$24/2)</f>
        <v/>
      </c>
      <c r="BR140" s="39">
        <f>BQ140-$B$25+$B$26+$B$27</f>
        <v/>
      </c>
      <c r="BS140" s="39">
        <f>IF($B$28=1,$B$30,BR140*$B$29)</f>
        <v/>
      </c>
      <c r="BT140" s="39">
        <f>BR140-BS140</f>
        <v/>
      </c>
      <c r="BU140" s="58">
        <f>BT140/$B$31</f>
        <v/>
      </c>
    </row>
    <row r="141">
      <c r="A141" s="17" t="inlineStr">
        <is>
          <t>4-2</t>
        </is>
      </c>
      <c r="B141" s="26">
        <f>$B$21+0.01</f>
        <v/>
      </c>
      <c r="C141" s="26" t="n">
        <v>-0.02</v>
      </c>
      <c r="D141" s="39">
        <f>$B$5*(1+'1_Assumptions'!$E$11)</f>
        <v/>
      </c>
      <c r="E141" s="39">
        <f>D141*(1-('1_Assumptions'!$E$17+IF('1_Assumptions'!$B$39=1,0,$C141)))</f>
        <v/>
      </c>
      <c r="F141" s="39">
        <f>D141-E141-D141*$B$11+D141*$B$12</f>
        <v/>
      </c>
      <c r="G141" s="39">
        <f>$B$6*$B$13</f>
        <v/>
      </c>
      <c r="H141" s="39">
        <f>D141*'1_Assumptions'!$E$23</f>
        <v/>
      </c>
      <c r="I141" s="39">
        <f>$B$6+H141-G141</f>
        <v/>
      </c>
      <c r="J141" s="39">
        <f>D141*$B$14</f>
        <v/>
      </c>
      <c r="K141" s="39">
        <f>$B$7-J141</f>
        <v/>
      </c>
      <c r="L141" s="39">
        <f>$B$8+D141*$B$16-$B$8/$B$18</f>
        <v/>
      </c>
      <c r="M141" s="39">
        <f>D141*'1_Assumptions'!$B$56/365+E141*'1_Assumptions'!$B$57/365+D141*'1_Assumptions'!$B$54-E141*'1_Assumptions'!$B$58/365-D141*'1_Assumptions'!$B$55</f>
        <v/>
      </c>
      <c r="N141" s="39">
        <f>F141*(1-$B$15)+G141+J141+IF($B$19=1,D141*'1_Assumptions'!$E$29,0)-H141-(M141-$B$10)</f>
        <v/>
      </c>
      <c r="O141" s="39">
        <f>D141*(1+'1_Assumptions'!$E$12)</f>
        <v/>
      </c>
      <c r="P141" s="39">
        <f>O141*(1-('1_Assumptions'!$E$18+$C141))</f>
        <v/>
      </c>
      <c r="Q141" s="39">
        <f>O141-P141-O141*$B$11+O141*$B$12</f>
        <v/>
      </c>
      <c r="R141" s="39">
        <f>I141*$B$13</f>
        <v/>
      </c>
      <c r="S141" s="39">
        <f>O141*'1_Assumptions'!$E$24</f>
        <v/>
      </c>
      <c r="T141" s="39">
        <f>I141+S141-R141</f>
        <v/>
      </c>
      <c r="U141" s="39">
        <f>O141*$B$14</f>
        <v/>
      </c>
      <c r="V141" s="39">
        <f>K141-U141</f>
        <v/>
      </c>
      <c r="W141" s="39">
        <f>L141+O141*$B$16-L141/$B$18</f>
        <v/>
      </c>
      <c r="X141" s="39">
        <f>O141*'1_Assumptions'!$B$56/365+P141*'1_Assumptions'!$B$57/365+O141*'1_Assumptions'!$B$54-P141*'1_Assumptions'!$B$58/365-O141*'1_Assumptions'!$B$55</f>
        <v/>
      </c>
      <c r="Y141" s="39">
        <f>Q141*(1-$B$15)+R141+U141+IF($B$19=1,O141*'1_Assumptions'!$E$30,0)-S141-(X141-M141)</f>
        <v/>
      </c>
      <c r="Z141" s="39">
        <f>O141*(1+'1_Assumptions'!$E$13)</f>
        <v/>
      </c>
      <c r="AA141" s="39">
        <f>Z141*(1-('1_Assumptions'!$E$19+$C141))</f>
        <v/>
      </c>
      <c r="AB141" s="39">
        <f>Z141-AA141-Z141*$B$11+Z141*$B$12</f>
        <v/>
      </c>
      <c r="AC141" s="39">
        <f>T141*$B$13</f>
        <v/>
      </c>
      <c r="AD141" s="39">
        <f>Z141*'1_Assumptions'!$E$25</f>
        <v/>
      </c>
      <c r="AE141" s="39">
        <f>T141+AD141-AC141</f>
        <v/>
      </c>
      <c r="AF141" s="39">
        <f>Z141*$B$14</f>
        <v/>
      </c>
      <c r="AG141" s="39">
        <f>V141-AF141</f>
        <v/>
      </c>
      <c r="AH141" s="39">
        <f>W141+Z141*$B$16-W141/$B$18</f>
        <v/>
      </c>
      <c r="AI141" s="39">
        <f>Z141*'1_Assumptions'!$B$56/365+AA141*'1_Assumptions'!$B$57/365+Z141*'1_Assumptions'!$B$54-AA141*'1_Assumptions'!$B$58/365-Z141*'1_Assumptions'!$B$55</f>
        <v/>
      </c>
      <c r="AJ141" s="39">
        <f>AB141*(1-$B$15)+AC141+AF141+IF($B$19=1,Z141*'1_Assumptions'!$E$31,0)-AD141-(AI141-X141)</f>
        <v/>
      </c>
      <c r="AK141" s="39">
        <f>Z141*(1+'1_Assumptions'!$E$14)</f>
        <v/>
      </c>
      <c r="AL141" s="39">
        <f>AK141*(1-('1_Assumptions'!$E$20+$C141))</f>
        <v/>
      </c>
      <c r="AM141" s="39">
        <f>AK141-AL141-AK141*$B$11+AK141*$B$12</f>
        <v/>
      </c>
      <c r="AN141" s="39">
        <f>AE141*$B$13</f>
        <v/>
      </c>
      <c r="AO141" s="39">
        <f>AK141*'1_Assumptions'!$E$26</f>
        <v/>
      </c>
      <c r="AP141" s="39">
        <f>AE141+AO141-AN141</f>
        <v/>
      </c>
      <c r="AQ141" s="39">
        <f>AK141*$B$14</f>
        <v/>
      </c>
      <c r="AR141" s="39">
        <f>AG141-AQ141</f>
        <v/>
      </c>
      <c r="AS141" s="39">
        <f>AH141+AK141*$B$16-AH141/$B$18</f>
        <v/>
      </c>
      <c r="AT141" s="39">
        <f>AK141*'1_Assumptions'!$B$56/365+AL141*'1_Assumptions'!$B$57/365+AK141*'1_Assumptions'!$B$54-AL141*'1_Assumptions'!$B$58/365-AK141*'1_Assumptions'!$B$55</f>
        <v/>
      </c>
      <c r="AU141" s="39">
        <f>AM141*(1-$B$15)+AN141+AQ141+IF($B$19=1,AK141*'1_Assumptions'!$E$32,0)-AO141-(AT141-AI141)</f>
        <v/>
      </c>
      <c r="AV141" s="39">
        <f>AK141*(1+'1_Assumptions'!$E$15)</f>
        <v/>
      </c>
      <c r="AW141" s="39">
        <f>AV141*(1-('1_Assumptions'!$E$21+$C141))</f>
        <v/>
      </c>
      <c r="AX141" s="39">
        <f>AV141-AW141-AV141*$B$11+AV141*$B$12</f>
        <v/>
      </c>
      <c r="AY141" s="39">
        <f>AP141*$B$13</f>
        <v/>
      </c>
      <c r="AZ141" s="39">
        <f>AV141*'1_Assumptions'!$E$27</f>
        <v/>
      </c>
      <c r="BA141" s="39">
        <f>AP141+AZ141-AY141</f>
        <v/>
      </c>
      <c r="BB141" s="39">
        <f>AV141*$B$14</f>
        <v/>
      </c>
      <c r="BC141" s="39">
        <f>AR141-BB141</f>
        <v/>
      </c>
      <c r="BD141" s="39">
        <f>AS141+AV141*$B$16-AS141/$B$18</f>
        <v/>
      </c>
      <c r="BE141" s="39">
        <f>AV141*'1_Assumptions'!$B$56/365+AW141*'1_Assumptions'!$B$57/365+AV141*'1_Assumptions'!$B$54-AW141*'1_Assumptions'!$B$58/365-AV141*'1_Assumptions'!$B$55</f>
        <v/>
      </c>
      <c r="BF141" s="39">
        <f>AX141*(1-$B$15)+AY141+BB141+IF($B$19=1,AV141*'1_Assumptions'!$E$33,0)-AZ141-(BE141-AT141)</f>
        <v/>
      </c>
      <c r="BG141" s="39">
        <f>N141/(1+$B141)^(1-0.5*$B$23)+Y141/(1+$B141)^(2-0.5*$B$23)+AJ141/(1+$B141)^(3-0.5*$B$23)+AU141/(1+$B141)^(4-0.5*$B$23)+BF141/(1+$B141)^(5-0.5*$B$23)</f>
        <v/>
      </c>
      <c r="BH141" s="39">
        <f>BE141+BA141+BC141+$B$9+IF($B$17=1,BD141,0)</f>
        <v/>
      </c>
      <c r="BI141" s="19">
        <f>IF($B$32=2,$B141+$B$33,IF(BH141=0,0,BL141/BH141))</f>
        <v/>
      </c>
      <c r="BJ141" s="19">
        <f>IF(BI141=0,9,$B$22/BI141)</f>
        <v/>
      </c>
      <c r="BK141" s="55">
        <f>IF(OR(BH141&lt;=0,BI141&lt;=$B141,BJ141&gt;=1,BJ141&lt;0),1,0)</f>
        <v/>
      </c>
      <c r="BL141" s="39">
        <f>AX141*(1-$B$20)</f>
        <v/>
      </c>
      <c r="BM141" s="39">
        <f>IF(BK141=1,BL141,AX141*(1+$B$22)*(1-$B$20)*(1-BJ141))</f>
        <v/>
      </c>
      <c r="BN141" s="39">
        <f>IF(BK141=1,BL141/$B141,BM141/($B141-$B$22))</f>
        <v/>
      </c>
      <c r="BO141" s="39">
        <f>BN141/(1+$B141)^(5-0.5*$B$23)</f>
        <v/>
      </c>
      <c r="BP141" s="39">
        <f>BG141+BO141</f>
        <v/>
      </c>
      <c r="BQ141" s="39">
        <f>BP141*(1+$B141)^$B$24-N141*$B$24*(1+$B141)^($B$24/2)</f>
        <v/>
      </c>
      <c r="BR141" s="39">
        <f>BQ141-$B$25+$B$26+$B$27</f>
        <v/>
      </c>
      <c r="BS141" s="39">
        <f>IF($B$28=1,$B$30,BR141*$B$29)</f>
        <v/>
      </c>
      <c r="BT141" s="39">
        <f>BR141-BS141</f>
        <v/>
      </c>
      <c r="BU141" s="58">
        <f>BT141/$B$31</f>
        <v/>
      </c>
    </row>
    <row r="142">
      <c r="A142" s="17" t="inlineStr">
        <is>
          <t>4-3</t>
        </is>
      </c>
      <c r="B142" s="26">
        <f>$B$21+0.01</f>
        <v/>
      </c>
      <c r="C142" s="26" t="n">
        <v>0</v>
      </c>
      <c r="D142" s="39">
        <f>$B$5*(1+'1_Assumptions'!$E$11)</f>
        <v/>
      </c>
      <c r="E142" s="39">
        <f>D142*(1-('1_Assumptions'!$E$17+IF('1_Assumptions'!$B$39=1,0,$C142)))</f>
        <v/>
      </c>
      <c r="F142" s="39">
        <f>D142-E142-D142*$B$11+D142*$B$12</f>
        <v/>
      </c>
      <c r="G142" s="39">
        <f>$B$6*$B$13</f>
        <v/>
      </c>
      <c r="H142" s="39">
        <f>D142*'1_Assumptions'!$E$23</f>
        <v/>
      </c>
      <c r="I142" s="39">
        <f>$B$6+H142-G142</f>
        <v/>
      </c>
      <c r="J142" s="39">
        <f>D142*$B$14</f>
        <v/>
      </c>
      <c r="K142" s="39">
        <f>$B$7-J142</f>
        <v/>
      </c>
      <c r="L142" s="39">
        <f>$B$8+D142*$B$16-$B$8/$B$18</f>
        <v/>
      </c>
      <c r="M142" s="39">
        <f>D142*'1_Assumptions'!$B$56/365+E142*'1_Assumptions'!$B$57/365+D142*'1_Assumptions'!$B$54-E142*'1_Assumptions'!$B$58/365-D142*'1_Assumptions'!$B$55</f>
        <v/>
      </c>
      <c r="N142" s="39">
        <f>F142*(1-$B$15)+G142+J142+IF($B$19=1,D142*'1_Assumptions'!$E$29,0)-H142-(M142-$B$10)</f>
        <v/>
      </c>
      <c r="O142" s="39">
        <f>D142*(1+'1_Assumptions'!$E$12)</f>
        <v/>
      </c>
      <c r="P142" s="39">
        <f>O142*(1-('1_Assumptions'!$E$18+$C142))</f>
        <v/>
      </c>
      <c r="Q142" s="39">
        <f>O142-P142-O142*$B$11+O142*$B$12</f>
        <v/>
      </c>
      <c r="R142" s="39">
        <f>I142*$B$13</f>
        <v/>
      </c>
      <c r="S142" s="39">
        <f>O142*'1_Assumptions'!$E$24</f>
        <v/>
      </c>
      <c r="T142" s="39">
        <f>I142+S142-R142</f>
        <v/>
      </c>
      <c r="U142" s="39">
        <f>O142*$B$14</f>
        <v/>
      </c>
      <c r="V142" s="39">
        <f>K142-U142</f>
        <v/>
      </c>
      <c r="W142" s="39">
        <f>L142+O142*$B$16-L142/$B$18</f>
        <v/>
      </c>
      <c r="X142" s="39">
        <f>O142*'1_Assumptions'!$B$56/365+P142*'1_Assumptions'!$B$57/365+O142*'1_Assumptions'!$B$54-P142*'1_Assumptions'!$B$58/365-O142*'1_Assumptions'!$B$55</f>
        <v/>
      </c>
      <c r="Y142" s="39">
        <f>Q142*(1-$B$15)+R142+U142+IF($B$19=1,O142*'1_Assumptions'!$E$30,0)-S142-(X142-M142)</f>
        <v/>
      </c>
      <c r="Z142" s="39">
        <f>O142*(1+'1_Assumptions'!$E$13)</f>
        <v/>
      </c>
      <c r="AA142" s="39">
        <f>Z142*(1-('1_Assumptions'!$E$19+$C142))</f>
        <v/>
      </c>
      <c r="AB142" s="39">
        <f>Z142-AA142-Z142*$B$11+Z142*$B$12</f>
        <v/>
      </c>
      <c r="AC142" s="39">
        <f>T142*$B$13</f>
        <v/>
      </c>
      <c r="AD142" s="39">
        <f>Z142*'1_Assumptions'!$E$25</f>
        <v/>
      </c>
      <c r="AE142" s="39">
        <f>T142+AD142-AC142</f>
        <v/>
      </c>
      <c r="AF142" s="39">
        <f>Z142*$B$14</f>
        <v/>
      </c>
      <c r="AG142" s="39">
        <f>V142-AF142</f>
        <v/>
      </c>
      <c r="AH142" s="39">
        <f>W142+Z142*$B$16-W142/$B$18</f>
        <v/>
      </c>
      <c r="AI142" s="39">
        <f>Z142*'1_Assumptions'!$B$56/365+AA142*'1_Assumptions'!$B$57/365+Z142*'1_Assumptions'!$B$54-AA142*'1_Assumptions'!$B$58/365-Z142*'1_Assumptions'!$B$55</f>
        <v/>
      </c>
      <c r="AJ142" s="39">
        <f>AB142*(1-$B$15)+AC142+AF142+IF($B$19=1,Z142*'1_Assumptions'!$E$31,0)-AD142-(AI142-X142)</f>
        <v/>
      </c>
      <c r="AK142" s="39">
        <f>Z142*(1+'1_Assumptions'!$E$14)</f>
        <v/>
      </c>
      <c r="AL142" s="39">
        <f>AK142*(1-('1_Assumptions'!$E$20+$C142))</f>
        <v/>
      </c>
      <c r="AM142" s="39">
        <f>AK142-AL142-AK142*$B$11+AK142*$B$12</f>
        <v/>
      </c>
      <c r="AN142" s="39">
        <f>AE142*$B$13</f>
        <v/>
      </c>
      <c r="AO142" s="39">
        <f>AK142*'1_Assumptions'!$E$26</f>
        <v/>
      </c>
      <c r="AP142" s="39">
        <f>AE142+AO142-AN142</f>
        <v/>
      </c>
      <c r="AQ142" s="39">
        <f>AK142*$B$14</f>
        <v/>
      </c>
      <c r="AR142" s="39">
        <f>AG142-AQ142</f>
        <v/>
      </c>
      <c r="AS142" s="39">
        <f>AH142+AK142*$B$16-AH142/$B$18</f>
        <v/>
      </c>
      <c r="AT142" s="39">
        <f>AK142*'1_Assumptions'!$B$56/365+AL142*'1_Assumptions'!$B$57/365+AK142*'1_Assumptions'!$B$54-AL142*'1_Assumptions'!$B$58/365-AK142*'1_Assumptions'!$B$55</f>
        <v/>
      </c>
      <c r="AU142" s="39">
        <f>AM142*(1-$B$15)+AN142+AQ142+IF($B$19=1,AK142*'1_Assumptions'!$E$32,0)-AO142-(AT142-AI142)</f>
        <v/>
      </c>
      <c r="AV142" s="39">
        <f>AK142*(1+'1_Assumptions'!$E$15)</f>
        <v/>
      </c>
      <c r="AW142" s="39">
        <f>AV142*(1-('1_Assumptions'!$E$21+$C142))</f>
        <v/>
      </c>
      <c r="AX142" s="39">
        <f>AV142-AW142-AV142*$B$11+AV142*$B$12</f>
        <v/>
      </c>
      <c r="AY142" s="39">
        <f>AP142*$B$13</f>
        <v/>
      </c>
      <c r="AZ142" s="39">
        <f>AV142*'1_Assumptions'!$E$27</f>
        <v/>
      </c>
      <c r="BA142" s="39">
        <f>AP142+AZ142-AY142</f>
        <v/>
      </c>
      <c r="BB142" s="39">
        <f>AV142*$B$14</f>
        <v/>
      </c>
      <c r="BC142" s="39">
        <f>AR142-BB142</f>
        <v/>
      </c>
      <c r="BD142" s="39">
        <f>AS142+AV142*$B$16-AS142/$B$18</f>
        <v/>
      </c>
      <c r="BE142" s="39">
        <f>AV142*'1_Assumptions'!$B$56/365+AW142*'1_Assumptions'!$B$57/365+AV142*'1_Assumptions'!$B$54-AW142*'1_Assumptions'!$B$58/365-AV142*'1_Assumptions'!$B$55</f>
        <v/>
      </c>
      <c r="BF142" s="39">
        <f>AX142*(1-$B$15)+AY142+BB142+IF($B$19=1,AV142*'1_Assumptions'!$E$33,0)-AZ142-(BE142-AT142)</f>
        <v/>
      </c>
      <c r="BG142" s="39">
        <f>N142/(1+$B142)^(1-0.5*$B$23)+Y142/(1+$B142)^(2-0.5*$B$23)+AJ142/(1+$B142)^(3-0.5*$B$23)+AU142/(1+$B142)^(4-0.5*$B$23)+BF142/(1+$B142)^(5-0.5*$B$23)</f>
        <v/>
      </c>
      <c r="BH142" s="39">
        <f>BE142+BA142+BC142+$B$9+IF($B$17=1,BD142,0)</f>
        <v/>
      </c>
      <c r="BI142" s="19">
        <f>IF($B$32=2,$B142+$B$33,IF(BH142=0,0,BL142/BH142))</f>
        <v/>
      </c>
      <c r="BJ142" s="19">
        <f>IF(BI142=0,9,$B$22/BI142)</f>
        <v/>
      </c>
      <c r="BK142" s="55">
        <f>IF(OR(BH142&lt;=0,BI142&lt;=$B142,BJ142&gt;=1,BJ142&lt;0),1,0)</f>
        <v/>
      </c>
      <c r="BL142" s="39">
        <f>AX142*(1-$B$20)</f>
        <v/>
      </c>
      <c r="BM142" s="39">
        <f>IF(BK142=1,BL142,AX142*(1+$B$22)*(1-$B$20)*(1-BJ142))</f>
        <v/>
      </c>
      <c r="BN142" s="39">
        <f>IF(BK142=1,BL142/$B142,BM142/($B142-$B$22))</f>
        <v/>
      </c>
      <c r="BO142" s="39">
        <f>BN142/(1+$B142)^(5-0.5*$B$23)</f>
        <v/>
      </c>
      <c r="BP142" s="39">
        <f>BG142+BO142</f>
        <v/>
      </c>
      <c r="BQ142" s="39">
        <f>BP142*(1+$B142)^$B$24-N142*$B$24*(1+$B142)^($B$24/2)</f>
        <v/>
      </c>
      <c r="BR142" s="39">
        <f>BQ142-$B$25+$B$26+$B$27</f>
        <v/>
      </c>
      <c r="BS142" s="39">
        <f>IF($B$28=1,$B$30,BR142*$B$29)</f>
        <v/>
      </c>
      <c r="BT142" s="39">
        <f>BR142-BS142</f>
        <v/>
      </c>
      <c r="BU142" s="58">
        <f>BT142/$B$31</f>
        <v/>
      </c>
    </row>
    <row r="143">
      <c r="A143" s="17" t="inlineStr">
        <is>
          <t>4-4</t>
        </is>
      </c>
      <c r="B143" s="26">
        <f>$B$21+0.01</f>
        <v/>
      </c>
      <c r="C143" s="26" t="n">
        <v>0.02</v>
      </c>
      <c r="D143" s="39">
        <f>$B$5*(1+'1_Assumptions'!$E$11)</f>
        <v/>
      </c>
      <c r="E143" s="39">
        <f>D143*(1-('1_Assumptions'!$E$17+IF('1_Assumptions'!$B$39=1,0,$C143)))</f>
        <v/>
      </c>
      <c r="F143" s="39">
        <f>D143-E143-D143*$B$11+D143*$B$12</f>
        <v/>
      </c>
      <c r="G143" s="39">
        <f>$B$6*$B$13</f>
        <v/>
      </c>
      <c r="H143" s="39">
        <f>D143*'1_Assumptions'!$E$23</f>
        <v/>
      </c>
      <c r="I143" s="39">
        <f>$B$6+H143-G143</f>
        <v/>
      </c>
      <c r="J143" s="39">
        <f>D143*$B$14</f>
        <v/>
      </c>
      <c r="K143" s="39">
        <f>$B$7-J143</f>
        <v/>
      </c>
      <c r="L143" s="39">
        <f>$B$8+D143*$B$16-$B$8/$B$18</f>
        <v/>
      </c>
      <c r="M143" s="39">
        <f>D143*'1_Assumptions'!$B$56/365+E143*'1_Assumptions'!$B$57/365+D143*'1_Assumptions'!$B$54-E143*'1_Assumptions'!$B$58/365-D143*'1_Assumptions'!$B$55</f>
        <v/>
      </c>
      <c r="N143" s="39">
        <f>F143*(1-$B$15)+G143+J143+IF($B$19=1,D143*'1_Assumptions'!$E$29,0)-H143-(M143-$B$10)</f>
        <v/>
      </c>
      <c r="O143" s="39">
        <f>D143*(1+'1_Assumptions'!$E$12)</f>
        <v/>
      </c>
      <c r="P143" s="39">
        <f>O143*(1-('1_Assumptions'!$E$18+$C143))</f>
        <v/>
      </c>
      <c r="Q143" s="39">
        <f>O143-P143-O143*$B$11+O143*$B$12</f>
        <v/>
      </c>
      <c r="R143" s="39">
        <f>I143*$B$13</f>
        <v/>
      </c>
      <c r="S143" s="39">
        <f>O143*'1_Assumptions'!$E$24</f>
        <v/>
      </c>
      <c r="T143" s="39">
        <f>I143+S143-R143</f>
        <v/>
      </c>
      <c r="U143" s="39">
        <f>O143*$B$14</f>
        <v/>
      </c>
      <c r="V143" s="39">
        <f>K143-U143</f>
        <v/>
      </c>
      <c r="W143" s="39">
        <f>L143+O143*$B$16-L143/$B$18</f>
        <v/>
      </c>
      <c r="X143" s="39">
        <f>O143*'1_Assumptions'!$B$56/365+P143*'1_Assumptions'!$B$57/365+O143*'1_Assumptions'!$B$54-P143*'1_Assumptions'!$B$58/365-O143*'1_Assumptions'!$B$55</f>
        <v/>
      </c>
      <c r="Y143" s="39">
        <f>Q143*(1-$B$15)+R143+U143+IF($B$19=1,O143*'1_Assumptions'!$E$30,0)-S143-(X143-M143)</f>
        <v/>
      </c>
      <c r="Z143" s="39">
        <f>O143*(1+'1_Assumptions'!$E$13)</f>
        <v/>
      </c>
      <c r="AA143" s="39">
        <f>Z143*(1-('1_Assumptions'!$E$19+$C143))</f>
        <v/>
      </c>
      <c r="AB143" s="39">
        <f>Z143-AA143-Z143*$B$11+Z143*$B$12</f>
        <v/>
      </c>
      <c r="AC143" s="39">
        <f>T143*$B$13</f>
        <v/>
      </c>
      <c r="AD143" s="39">
        <f>Z143*'1_Assumptions'!$E$25</f>
        <v/>
      </c>
      <c r="AE143" s="39">
        <f>T143+AD143-AC143</f>
        <v/>
      </c>
      <c r="AF143" s="39">
        <f>Z143*$B$14</f>
        <v/>
      </c>
      <c r="AG143" s="39">
        <f>V143-AF143</f>
        <v/>
      </c>
      <c r="AH143" s="39">
        <f>W143+Z143*$B$16-W143/$B$18</f>
        <v/>
      </c>
      <c r="AI143" s="39">
        <f>Z143*'1_Assumptions'!$B$56/365+AA143*'1_Assumptions'!$B$57/365+Z143*'1_Assumptions'!$B$54-AA143*'1_Assumptions'!$B$58/365-Z143*'1_Assumptions'!$B$55</f>
        <v/>
      </c>
      <c r="AJ143" s="39">
        <f>AB143*(1-$B$15)+AC143+AF143+IF($B$19=1,Z143*'1_Assumptions'!$E$31,0)-AD143-(AI143-X143)</f>
        <v/>
      </c>
      <c r="AK143" s="39">
        <f>Z143*(1+'1_Assumptions'!$E$14)</f>
        <v/>
      </c>
      <c r="AL143" s="39">
        <f>AK143*(1-('1_Assumptions'!$E$20+$C143))</f>
        <v/>
      </c>
      <c r="AM143" s="39">
        <f>AK143-AL143-AK143*$B$11+AK143*$B$12</f>
        <v/>
      </c>
      <c r="AN143" s="39">
        <f>AE143*$B$13</f>
        <v/>
      </c>
      <c r="AO143" s="39">
        <f>AK143*'1_Assumptions'!$E$26</f>
        <v/>
      </c>
      <c r="AP143" s="39">
        <f>AE143+AO143-AN143</f>
        <v/>
      </c>
      <c r="AQ143" s="39">
        <f>AK143*$B$14</f>
        <v/>
      </c>
      <c r="AR143" s="39">
        <f>AG143-AQ143</f>
        <v/>
      </c>
      <c r="AS143" s="39">
        <f>AH143+AK143*$B$16-AH143/$B$18</f>
        <v/>
      </c>
      <c r="AT143" s="39">
        <f>AK143*'1_Assumptions'!$B$56/365+AL143*'1_Assumptions'!$B$57/365+AK143*'1_Assumptions'!$B$54-AL143*'1_Assumptions'!$B$58/365-AK143*'1_Assumptions'!$B$55</f>
        <v/>
      </c>
      <c r="AU143" s="39">
        <f>AM143*(1-$B$15)+AN143+AQ143+IF($B$19=1,AK143*'1_Assumptions'!$E$32,0)-AO143-(AT143-AI143)</f>
        <v/>
      </c>
      <c r="AV143" s="39">
        <f>AK143*(1+'1_Assumptions'!$E$15)</f>
        <v/>
      </c>
      <c r="AW143" s="39">
        <f>AV143*(1-('1_Assumptions'!$E$21+$C143))</f>
        <v/>
      </c>
      <c r="AX143" s="39">
        <f>AV143-AW143-AV143*$B$11+AV143*$B$12</f>
        <v/>
      </c>
      <c r="AY143" s="39">
        <f>AP143*$B$13</f>
        <v/>
      </c>
      <c r="AZ143" s="39">
        <f>AV143*'1_Assumptions'!$E$27</f>
        <v/>
      </c>
      <c r="BA143" s="39">
        <f>AP143+AZ143-AY143</f>
        <v/>
      </c>
      <c r="BB143" s="39">
        <f>AV143*$B$14</f>
        <v/>
      </c>
      <c r="BC143" s="39">
        <f>AR143-BB143</f>
        <v/>
      </c>
      <c r="BD143" s="39">
        <f>AS143+AV143*$B$16-AS143/$B$18</f>
        <v/>
      </c>
      <c r="BE143" s="39">
        <f>AV143*'1_Assumptions'!$B$56/365+AW143*'1_Assumptions'!$B$57/365+AV143*'1_Assumptions'!$B$54-AW143*'1_Assumptions'!$B$58/365-AV143*'1_Assumptions'!$B$55</f>
        <v/>
      </c>
      <c r="BF143" s="39">
        <f>AX143*(1-$B$15)+AY143+BB143+IF($B$19=1,AV143*'1_Assumptions'!$E$33,0)-AZ143-(BE143-AT143)</f>
        <v/>
      </c>
      <c r="BG143" s="39">
        <f>N143/(1+$B143)^(1-0.5*$B$23)+Y143/(1+$B143)^(2-0.5*$B$23)+AJ143/(1+$B143)^(3-0.5*$B$23)+AU143/(1+$B143)^(4-0.5*$B$23)+BF143/(1+$B143)^(5-0.5*$B$23)</f>
        <v/>
      </c>
      <c r="BH143" s="39">
        <f>BE143+BA143+BC143+$B$9+IF($B$17=1,BD143,0)</f>
        <v/>
      </c>
      <c r="BI143" s="19">
        <f>IF($B$32=2,$B143+$B$33,IF(BH143=0,0,BL143/BH143))</f>
        <v/>
      </c>
      <c r="BJ143" s="19">
        <f>IF(BI143=0,9,$B$22/BI143)</f>
        <v/>
      </c>
      <c r="BK143" s="55">
        <f>IF(OR(BH143&lt;=0,BI143&lt;=$B143,BJ143&gt;=1,BJ143&lt;0),1,0)</f>
        <v/>
      </c>
      <c r="BL143" s="39">
        <f>AX143*(1-$B$20)</f>
        <v/>
      </c>
      <c r="BM143" s="39">
        <f>IF(BK143=1,BL143,AX143*(1+$B$22)*(1-$B$20)*(1-BJ143))</f>
        <v/>
      </c>
      <c r="BN143" s="39">
        <f>IF(BK143=1,BL143/$B143,BM143/($B143-$B$22))</f>
        <v/>
      </c>
      <c r="BO143" s="39">
        <f>BN143/(1+$B143)^(5-0.5*$B$23)</f>
        <v/>
      </c>
      <c r="BP143" s="39">
        <f>BG143+BO143</f>
        <v/>
      </c>
      <c r="BQ143" s="39">
        <f>BP143*(1+$B143)^$B$24-N143*$B$24*(1+$B143)^($B$24/2)</f>
        <v/>
      </c>
      <c r="BR143" s="39">
        <f>BQ143-$B$25+$B$26+$B$27</f>
        <v/>
      </c>
      <c r="BS143" s="39">
        <f>IF($B$28=1,$B$30,BR143*$B$29)</f>
        <v/>
      </c>
      <c r="BT143" s="39">
        <f>BR143-BS143</f>
        <v/>
      </c>
      <c r="BU143" s="58">
        <f>BT143/$B$31</f>
        <v/>
      </c>
    </row>
    <row r="144">
      <c r="A144" s="17" t="inlineStr">
        <is>
          <t>4-5</t>
        </is>
      </c>
      <c r="B144" s="26">
        <f>$B$21+0.01</f>
        <v/>
      </c>
      <c r="C144" s="26" t="n">
        <v>0.04</v>
      </c>
      <c r="D144" s="39">
        <f>$B$5*(1+'1_Assumptions'!$E$11)</f>
        <v/>
      </c>
      <c r="E144" s="39">
        <f>D144*(1-('1_Assumptions'!$E$17+IF('1_Assumptions'!$B$39=1,0,$C144)))</f>
        <v/>
      </c>
      <c r="F144" s="39">
        <f>D144-E144-D144*$B$11+D144*$B$12</f>
        <v/>
      </c>
      <c r="G144" s="39">
        <f>$B$6*$B$13</f>
        <v/>
      </c>
      <c r="H144" s="39">
        <f>D144*'1_Assumptions'!$E$23</f>
        <v/>
      </c>
      <c r="I144" s="39">
        <f>$B$6+H144-G144</f>
        <v/>
      </c>
      <c r="J144" s="39">
        <f>D144*$B$14</f>
        <v/>
      </c>
      <c r="K144" s="39">
        <f>$B$7-J144</f>
        <v/>
      </c>
      <c r="L144" s="39">
        <f>$B$8+D144*$B$16-$B$8/$B$18</f>
        <v/>
      </c>
      <c r="M144" s="39">
        <f>D144*'1_Assumptions'!$B$56/365+E144*'1_Assumptions'!$B$57/365+D144*'1_Assumptions'!$B$54-E144*'1_Assumptions'!$B$58/365-D144*'1_Assumptions'!$B$55</f>
        <v/>
      </c>
      <c r="N144" s="39">
        <f>F144*(1-$B$15)+G144+J144+IF($B$19=1,D144*'1_Assumptions'!$E$29,0)-H144-(M144-$B$10)</f>
        <v/>
      </c>
      <c r="O144" s="39">
        <f>D144*(1+'1_Assumptions'!$E$12)</f>
        <v/>
      </c>
      <c r="P144" s="39">
        <f>O144*(1-('1_Assumptions'!$E$18+$C144))</f>
        <v/>
      </c>
      <c r="Q144" s="39">
        <f>O144-P144-O144*$B$11+O144*$B$12</f>
        <v/>
      </c>
      <c r="R144" s="39">
        <f>I144*$B$13</f>
        <v/>
      </c>
      <c r="S144" s="39">
        <f>O144*'1_Assumptions'!$E$24</f>
        <v/>
      </c>
      <c r="T144" s="39">
        <f>I144+S144-R144</f>
        <v/>
      </c>
      <c r="U144" s="39">
        <f>O144*$B$14</f>
        <v/>
      </c>
      <c r="V144" s="39">
        <f>K144-U144</f>
        <v/>
      </c>
      <c r="W144" s="39">
        <f>L144+O144*$B$16-L144/$B$18</f>
        <v/>
      </c>
      <c r="X144" s="39">
        <f>O144*'1_Assumptions'!$B$56/365+P144*'1_Assumptions'!$B$57/365+O144*'1_Assumptions'!$B$54-P144*'1_Assumptions'!$B$58/365-O144*'1_Assumptions'!$B$55</f>
        <v/>
      </c>
      <c r="Y144" s="39">
        <f>Q144*(1-$B$15)+R144+U144+IF($B$19=1,O144*'1_Assumptions'!$E$30,0)-S144-(X144-M144)</f>
        <v/>
      </c>
      <c r="Z144" s="39">
        <f>O144*(1+'1_Assumptions'!$E$13)</f>
        <v/>
      </c>
      <c r="AA144" s="39">
        <f>Z144*(1-('1_Assumptions'!$E$19+$C144))</f>
        <v/>
      </c>
      <c r="AB144" s="39">
        <f>Z144-AA144-Z144*$B$11+Z144*$B$12</f>
        <v/>
      </c>
      <c r="AC144" s="39">
        <f>T144*$B$13</f>
        <v/>
      </c>
      <c r="AD144" s="39">
        <f>Z144*'1_Assumptions'!$E$25</f>
        <v/>
      </c>
      <c r="AE144" s="39">
        <f>T144+AD144-AC144</f>
        <v/>
      </c>
      <c r="AF144" s="39">
        <f>Z144*$B$14</f>
        <v/>
      </c>
      <c r="AG144" s="39">
        <f>V144-AF144</f>
        <v/>
      </c>
      <c r="AH144" s="39">
        <f>W144+Z144*$B$16-W144/$B$18</f>
        <v/>
      </c>
      <c r="AI144" s="39">
        <f>Z144*'1_Assumptions'!$B$56/365+AA144*'1_Assumptions'!$B$57/365+Z144*'1_Assumptions'!$B$54-AA144*'1_Assumptions'!$B$58/365-Z144*'1_Assumptions'!$B$55</f>
        <v/>
      </c>
      <c r="AJ144" s="39">
        <f>AB144*(1-$B$15)+AC144+AF144+IF($B$19=1,Z144*'1_Assumptions'!$E$31,0)-AD144-(AI144-X144)</f>
        <v/>
      </c>
      <c r="AK144" s="39">
        <f>Z144*(1+'1_Assumptions'!$E$14)</f>
        <v/>
      </c>
      <c r="AL144" s="39">
        <f>AK144*(1-('1_Assumptions'!$E$20+$C144))</f>
        <v/>
      </c>
      <c r="AM144" s="39">
        <f>AK144-AL144-AK144*$B$11+AK144*$B$12</f>
        <v/>
      </c>
      <c r="AN144" s="39">
        <f>AE144*$B$13</f>
        <v/>
      </c>
      <c r="AO144" s="39">
        <f>AK144*'1_Assumptions'!$E$26</f>
        <v/>
      </c>
      <c r="AP144" s="39">
        <f>AE144+AO144-AN144</f>
        <v/>
      </c>
      <c r="AQ144" s="39">
        <f>AK144*$B$14</f>
        <v/>
      </c>
      <c r="AR144" s="39">
        <f>AG144-AQ144</f>
        <v/>
      </c>
      <c r="AS144" s="39">
        <f>AH144+AK144*$B$16-AH144/$B$18</f>
        <v/>
      </c>
      <c r="AT144" s="39">
        <f>AK144*'1_Assumptions'!$B$56/365+AL144*'1_Assumptions'!$B$57/365+AK144*'1_Assumptions'!$B$54-AL144*'1_Assumptions'!$B$58/365-AK144*'1_Assumptions'!$B$55</f>
        <v/>
      </c>
      <c r="AU144" s="39">
        <f>AM144*(1-$B$15)+AN144+AQ144+IF($B$19=1,AK144*'1_Assumptions'!$E$32,0)-AO144-(AT144-AI144)</f>
        <v/>
      </c>
      <c r="AV144" s="39">
        <f>AK144*(1+'1_Assumptions'!$E$15)</f>
        <v/>
      </c>
      <c r="AW144" s="39">
        <f>AV144*(1-('1_Assumptions'!$E$21+$C144))</f>
        <v/>
      </c>
      <c r="AX144" s="39">
        <f>AV144-AW144-AV144*$B$11+AV144*$B$12</f>
        <v/>
      </c>
      <c r="AY144" s="39">
        <f>AP144*$B$13</f>
        <v/>
      </c>
      <c r="AZ144" s="39">
        <f>AV144*'1_Assumptions'!$E$27</f>
        <v/>
      </c>
      <c r="BA144" s="39">
        <f>AP144+AZ144-AY144</f>
        <v/>
      </c>
      <c r="BB144" s="39">
        <f>AV144*$B$14</f>
        <v/>
      </c>
      <c r="BC144" s="39">
        <f>AR144-BB144</f>
        <v/>
      </c>
      <c r="BD144" s="39">
        <f>AS144+AV144*$B$16-AS144/$B$18</f>
        <v/>
      </c>
      <c r="BE144" s="39">
        <f>AV144*'1_Assumptions'!$B$56/365+AW144*'1_Assumptions'!$B$57/365+AV144*'1_Assumptions'!$B$54-AW144*'1_Assumptions'!$B$58/365-AV144*'1_Assumptions'!$B$55</f>
        <v/>
      </c>
      <c r="BF144" s="39">
        <f>AX144*(1-$B$15)+AY144+BB144+IF($B$19=1,AV144*'1_Assumptions'!$E$33,0)-AZ144-(BE144-AT144)</f>
        <v/>
      </c>
      <c r="BG144" s="39">
        <f>N144/(1+$B144)^(1-0.5*$B$23)+Y144/(1+$B144)^(2-0.5*$B$23)+AJ144/(1+$B144)^(3-0.5*$B$23)+AU144/(1+$B144)^(4-0.5*$B$23)+BF144/(1+$B144)^(5-0.5*$B$23)</f>
        <v/>
      </c>
      <c r="BH144" s="39">
        <f>BE144+BA144+BC144+$B$9+IF($B$17=1,BD144,0)</f>
        <v/>
      </c>
      <c r="BI144" s="19">
        <f>IF($B$32=2,$B144+$B$33,IF(BH144=0,0,BL144/BH144))</f>
        <v/>
      </c>
      <c r="BJ144" s="19">
        <f>IF(BI144=0,9,$B$22/BI144)</f>
        <v/>
      </c>
      <c r="BK144" s="55">
        <f>IF(OR(BH144&lt;=0,BI144&lt;=$B144,BJ144&gt;=1,BJ144&lt;0),1,0)</f>
        <v/>
      </c>
      <c r="BL144" s="39">
        <f>AX144*(1-$B$20)</f>
        <v/>
      </c>
      <c r="BM144" s="39">
        <f>IF(BK144=1,BL144,AX144*(1+$B$22)*(1-$B$20)*(1-BJ144))</f>
        <v/>
      </c>
      <c r="BN144" s="39">
        <f>IF(BK144=1,BL144/$B144,BM144/($B144-$B$22))</f>
        <v/>
      </c>
      <c r="BO144" s="39">
        <f>BN144/(1+$B144)^(5-0.5*$B$23)</f>
        <v/>
      </c>
      <c r="BP144" s="39">
        <f>BG144+BO144</f>
        <v/>
      </c>
      <c r="BQ144" s="39">
        <f>BP144*(1+$B144)^$B$24-N144*$B$24*(1+$B144)^($B$24/2)</f>
        <v/>
      </c>
      <c r="BR144" s="39">
        <f>BQ144-$B$25+$B$26+$B$27</f>
        <v/>
      </c>
      <c r="BS144" s="39">
        <f>IF($B$28=1,$B$30,BR144*$B$29)</f>
        <v/>
      </c>
      <c r="BT144" s="39">
        <f>BR144-BS144</f>
        <v/>
      </c>
      <c r="BU144" s="58">
        <f>BT144/$B$31</f>
        <v/>
      </c>
    </row>
    <row r="145">
      <c r="A145" s="17" t="inlineStr">
        <is>
          <t>5-1</t>
        </is>
      </c>
      <c r="B145" s="26">
        <f>$B$21+0.02</f>
        <v/>
      </c>
      <c r="C145" s="26" t="n">
        <v>-0.04</v>
      </c>
      <c r="D145" s="39">
        <f>$B$5*(1+'1_Assumptions'!$E$11)</f>
        <v/>
      </c>
      <c r="E145" s="39">
        <f>D145*(1-('1_Assumptions'!$E$17+IF('1_Assumptions'!$B$39=1,0,$C145)))</f>
        <v/>
      </c>
      <c r="F145" s="39">
        <f>D145-E145-D145*$B$11+D145*$B$12</f>
        <v/>
      </c>
      <c r="G145" s="39">
        <f>$B$6*$B$13</f>
        <v/>
      </c>
      <c r="H145" s="39">
        <f>D145*'1_Assumptions'!$E$23</f>
        <v/>
      </c>
      <c r="I145" s="39">
        <f>$B$6+H145-G145</f>
        <v/>
      </c>
      <c r="J145" s="39">
        <f>D145*$B$14</f>
        <v/>
      </c>
      <c r="K145" s="39">
        <f>$B$7-J145</f>
        <v/>
      </c>
      <c r="L145" s="39">
        <f>$B$8+D145*$B$16-$B$8/$B$18</f>
        <v/>
      </c>
      <c r="M145" s="39">
        <f>D145*'1_Assumptions'!$B$56/365+E145*'1_Assumptions'!$B$57/365+D145*'1_Assumptions'!$B$54-E145*'1_Assumptions'!$B$58/365-D145*'1_Assumptions'!$B$55</f>
        <v/>
      </c>
      <c r="N145" s="39">
        <f>F145*(1-$B$15)+G145+J145+IF($B$19=1,D145*'1_Assumptions'!$E$29,0)-H145-(M145-$B$10)</f>
        <v/>
      </c>
      <c r="O145" s="39">
        <f>D145*(1+'1_Assumptions'!$E$12)</f>
        <v/>
      </c>
      <c r="P145" s="39">
        <f>O145*(1-('1_Assumptions'!$E$18+$C145))</f>
        <v/>
      </c>
      <c r="Q145" s="39">
        <f>O145-P145-O145*$B$11+O145*$B$12</f>
        <v/>
      </c>
      <c r="R145" s="39">
        <f>I145*$B$13</f>
        <v/>
      </c>
      <c r="S145" s="39">
        <f>O145*'1_Assumptions'!$E$24</f>
        <v/>
      </c>
      <c r="T145" s="39">
        <f>I145+S145-R145</f>
        <v/>
      </c>
      <c r="U145" s="39">
        <f>O145*$B$14</f>
        <v/>
      </c>
      <c r="V145" s="39">
        <f>K145-U145</f>
        <v/>
      </c>
      <c r="W145" s="39">
        <f>L145+O145*$B$16-L145/$B$18</f>
        <v/>
      </c>
      <c r="X145" s="39">
        <f>O145*'1_Assumptions'!$B$56/365+P145*'1_Assumptions'!$B$57/365+O145*'1_Assumptions'!$B$54-P145*'1_Assumptions'!$B$58/365-O145*'1_Assumptions'!$B$55</f>
        <v/>
      </c>
      <c r="Y145" s="39">
        <f>Q145*(1-$B$15)+R145+U145+IF($B$19=1,O145*'1_Assumptions'!$E$30,0)-S145-(X145-M145)</f>
        <v/>
      </c>
      <c r="Z145" s="39">
        <f>O145*(1+'1_Assumptions'!$E$13)</f>
        <v/>
      </c>
      <c r="AA145" s="39">
        <f>Z145*(1-('1_Assumptions'!$E$19+$C145))</f>
        <v/>
      </c>
      <c r="AB145" s="39">
        <f>Z145-AA145-Z145*$B$11+Z145*$B$12</f>
        <v/>
      </c>
      <c r="AC145" s="39">
        <f>T145*$B$13</f>
        <v/>
      </c>
      <c r="AD145" s="39">
        <f>Z145*'1_Assumptions'!$E$25</f>
        <v/>
      </c>
      <c r="AE145" s="39">
        <f>T145+AD145-AC145</f>
        <v/>
      </c>
      <c r="AF145" s="39">
        <f>Z145*$B$14</f>
        <v/>
      </c>
      <c r="AG145" s="39">
        <f>V145-AF145</f>
        <v/>
      </c>
      <c r="AH145" s="39">
        <f>W145+Z145*$B$16-W145/$B$18</f>
        <v/>
      </c>
      <c r="AI145" s="39">
        <f>Z145*'1_Assumptions'!$B$56/365+AA145*'1_Assumptions'!$B$57/365+Z145*'1_Assumptions'!$B$54-AA145*'1_Assumptions'!$B$58/365-Z145*'1_Assumptions'!$B$55</f>
        <v/>
      </c>
      <c r="AJ145" s="39">
        <f>AB145*(1-$B$15)+AC145+AF145+IF($B$19=1,Z145*'1_Assumptions'!$E$31,0)-AD145-(AI145-X145)</f>
        <v/>
      </c>
      <c r="AK145" s="39">
        <f>Z145*(1+'1_Assumptions'!$E$14)</f>
        <v/>
      </c>
      <c r="AL145" s="39">
        <f>AK145*(1-('1_Assumptions'!$E$20+$C145))</f>
        <v/>
      </c>
      <c r="AM145" s="39">
        <f>AK145-AL145-AK145*$B$11+AK145*$B$12</f>
        <v/>
      </c>
      <c r="AN145" s="39">
        <f>AE145*$B$13</f>
        <v/>
      </c>
      <c r="AO145" s="39">
        <f>AK145*'1_Assumptions'!$E$26</f>
        <v/>
      </c>
      <c r="AP145" s="39">
        <f>AE145+AO145-AN145</f>
        <v/>
      </c>
      <c r="AQ145" s="39">
        <f>AK145*$B$14</f>
        <v/>
      </c>
      <c r="AR145" s="39">
        <f>AG145-AQ145</f>
        <v/>
      </c>
      <c r="AS145" s="39">
        <f>AH145+AK145*$B$16-AH145/$B$18</f>
        <v/>
      </c>
      <c r="AT145" s="39">
        <f>AK145*'1_Assumptions'!$B$56/365+AL145*'1_Assumptions'!$B$57/365+AK145*'1_Assumptions'!$B$54-AL145*'1_Assumptions'!$B$58/365-AK145*'1_Assumptions'!$B$55</f>
        <v/>
      </c>
      <c r="AU145" s="39">
        <f>AM145*(1-$B$15)+AN145+AQ145+IF($B$19=1,AK145*'1_Assumptions'!$E$32,0)-AO145-(AT145-AI145)</f>
        <v/>
      </c>
      <c r="AV145" s="39">
        <f>AK145*(1+'1_Assumptions'!$E$15)</f>
        <v/>
      </c>
      <c r="AW145" s="39">
        <f>AV145*(1-('1_Assumptions'!$E$21+$C145))</f>
        <v/>
      </c>
      <c r="AX145" s="39">
        <f>AV145-AW145-AV145*$B$11+AV145*$B$12</f>
        <v/>
      </c>
      <c r="AY145" s="39">
        <f>AP145*$B$13</f>
        <v/>
      </c>
      <c r="AZ145" s="39">
        <f>AV145*'1_Assumptions'!$E$27</f>
        <v/>
      </c>
      <c r="BA145" s="39">
        <f>AP145+AZ145-AY145</f>
        <v/>
      </c>
      <c r="BB145" s="39">
        <f>AV145*$B$14</f>
        <v/>
      </c>
      <c r="BC145" s="39">
        <f>AR145-BB145</f>
        <v/>
      </c>
      <c r="BD145" s="39">
        <f>AS145+AV145*$B$16-AS145/$B$18</f>
        <v/>
      </c>
      <c r="BE145" s="39">
        <f>AV145*'1_Assumptions'!$B$56/365+AW145*'1_Assumptions'!$B$57/365+AV145*'1_Assumptions'!$B$54-AW145*'1_Assumptions'!$B$58/365-AV145*'1_Assumptions'!$B$55</f>
        <v/>
      </c>
      <c r="BF145" s="39">
        <f>AX145*(1-$B$15)+AY145+BB145+IF($B$19=1,AV145*'1_Assumptions'!$E$33,0)-AZ145-(BE145-AT145)</f>
        <v/>
      </c>
      <c r="BG145" s="39">
        <f>N145/(1+$B145)^(1-0.5*$B$23)+Y145/(1+$B145)^(2-0.5*$B$23)+AJ145/(1+$B145)^(3-0.5*$B$23)+AU145/(1+$B145)^(4-0.5*$B$23)+BF145/(1+$B145)^(5-0.5*$B$23)</f>
        <v/>
      </c>
      <c r="BH145" s="39">
        <f>BE145+BA145+BC145+$B$9+IF($B$17=1,BD145,0)</f>
        <v/>
      </c>
      <c r="BI145" s="19">
        <f>IF($B$32=2,$B145+$B$33,IF(BH145=0,0,BL145/BH145))</f>
        <v/>
      </c>
      <c r="BJ145" s="19">
        <f>IF(BI145=0,9,$B$22/BI145)</f>
        <v/>
      </c>
      <c r="BK145" s="55">
        <f>IF(OR(BH145&lt;=0,BI145&lt;=$B145,BJ145&gt;=1,BJ145&lt;0),1,0)</f>
        <v/>
      </c>
      <c r="BL145" s="39">
        <f>AX145*(1-$B$20)</f>
        <v/>
      </c>
      <c r="BM145" s="39">
        <f>IF(BK145=1,BL145,AX145*(1+$B$22)*(1-$B$20)*(1-BJ145))</f>
        <v/>
      </c>
      <c r="BN145" s="39">
        <f>IF(BK145=1,BL145/$B145,BM145/($B145-$B$22))</f>
        <v/>
      </c>
      <c r="BO145" s="39">
        <f>BN145/(1+$B145)^(5-0.5*$B$23)</f>
        <v/>
      </c>
      <c r="BP145" s="39">
        <f>BG145+BO145</f>
        <v/>
      </c>
      <c r="BQ145" s="39">
        <f>BP145*(1+$B145)^$B$24-N145*$B$24*(1+$B145)^($B$24/2)</f>
        <v/>
      </c>
      <c r="BR145" s="39">
        <f>BQ145-$B$25+$B$26+$B$27</f>
        <v/>
      </c>
      <c r="BS145" s="39">
        <f>IF($B$28=1,$B$30,BR145*$B$29)</f>
        <v/>
      </c>
      <c r="BT145" s="39">
        <f>BR145-BS145</f>
        <v/>
      </c>
      <c r="BU145" s="58">
        <f>BT145/$B$31</f>
        <v/>
      </c>
    </row>
    <row r="146">
      <c r="A146" s="17" t="inlineStr">
        <is>
          <t>5-2</t>
        </is>
      </c>
      <c r="B146" s="26">
        <f>$B$21+0.02</f>
        <v/>
      </c>
      <c r="C146" s="26" t="n">
        <v>-0.02</v>
      </c>
      <c r="D146" s="39">
        <f>$B$5*(1+'1_Assumptions'!$E$11)</f>
        <v/>
      </c>
      <c r="E146" s="39">
        <f>D146*(1-('1_Assumptions'!$E$17+IF('1_Assumptions'!$B$39=1,0,$C146)))</f>
        <v/>
      </c>
      <c r="F146" s="39">
        <f>D146-E146-D146*$B$11+D146*$B$12</f>
        <v/>
      </c>
      <c r="G146" s="39">
        <f>$B$6*$B$13</f>
        <v/>
      </c>
      <c r="H146" s="39">
        <f>D146*'1_Assumptions'!$E$23</f>
        <v/>
      </c>
      <c r="I146" s="39">
        <f>$B$6+H146-G146</f>
        <v/>
      </c>
      <c r="J146" s="39">
        <f>D146*$B$14</f>
        <v/>
      </c>
      <c r="K146" s="39">
        <f>$B$7-J146</f>
        <v/>
      </c>
      <c r="L146" s="39">
        <f>$B$8+D146*$B$16-$B$8/$B$18</f>
        <v/>
      </c>
      <c r="M146" s="39">
        <f>D146*'1_Assumptions'!$B$56/365+E146*'1_Assumptions'!$B$57/365+D146*'1_Assumptions'!$B$54-E146*'1_Assumptions'!$B$58/365-D146*'1_Assumptions'!$B$55</f>
        <v/>
      </c>
      <c r="N146" s="39">
        <f>F146*(1-$B$15)+G146+J146+IF($B$19=1,D146*'1_Assumptions'!$E$29,0)-H146-(M146-$B$10)</f>
        <v/>
      </c>
      <c r="O146" s="39">
        <f>D146*(1+'1_Assumptions'!$E$12)</f>
        <v/>
      </c>
      <c r="P146" s="39">
        <f>O146*(1-('1_Assumptions'!$E$18+$C146))</f>
        <v/>
      </c>
      <c r="Q146" s="39">
        <f>O146-P146-O146*$B$11+O146*$B$12</f>
        <v/>
      </c>
      <c r="R146" s="39">
        <f>I146*$B$13</f>
        <v/>
      </c>
      <c r="S146" s="39">
        <f>O146*'1_Assumptions'!$E$24</f>
        <v/>
      </c>
      <c r="T146" s="39">
        <f>I146+S146-R146</f>
        <v/>
      </c>
      <c r="U146" s="39">
        <f>O146*$B$14</f>
        <v/>
      </c>
      <c r="V146" s="39">
        <f>K146-U146</f>
        <v/>
      </c>
      <c r="W146" s="39">
        <f>L146+O146*$B$16-L146/$B$18</f>
        <v/>
      </c>
      <c r="X146" s="39">
        <f>O146*'1_Assumptions'!$B$56/365+P146*'1_Assumptions'!$B$57/365+O146*'1_Assumptions'!$B$54-P146*'1_Assumptions'!$B$58/365-O146*'1_Assumptions'!$B$55</f>
        <v/>
      </c>
      <c r="Y146" s="39">
        <f>Q146*(1-$B$15)+R146+U146+IF($B$19=1,O146*'1_Assumptions'!$E$30,0)-S146-(X146-M146)</f>
        <v/>
      </c>
      <c r="Z146" s="39">
        <f>O146*(1+'1_Assumptions'!$E$13)</f>
        <v/>
      </c>
      <c r="AA146" s="39">
        <f>Z146*(1-('1_Assumptions'!$E$19+$C146))</f>
        <v/>
      </c>
      <c r="AB146" s="39">
        <f>Z146-AA146-Z146*$B$11+Z146*$B$12</f>
        <v/>
      </c>
      <c r="AC146" s="39">
        <f>T146*$B$13</f>
        <v/>
      </c>
      <c r="AD146" s="39">
        <f>Z146*'1_Assumptions'!$E$25</f>
        <v/>
      </c>
      <c r="AE146" s="39">
        <f>T146+AD146-AC146</f>
        <v/>
      </c>
      <c r="AF146" s="39">
        <f>Z146*$B$14</f>
        <v/>
      </c>
      <c r="AG146" s="39">
        <f>V146-AF146</f>
        <v/>
      </c>
      <c r="AH146" s="39">
        <f>W146+Z146*$B$16-W146/$B$18</f>
        <v/>
      </c>
      <c r="AI146" s="39">
        <f>Z146*'1_Assumptions'!$B$56/365+AA146*'1_Assumptions'!$B$57/365+Z146*'1_Assumptions'!$B$54-AA146*'1_Assumptions'!$B$58/365-Z146*'1_Assumptions'!$B$55</f>
        <v/>
      </c>
      <c r="AJ146" s="39">
        <f>AB146*(1-$B$15)+AC146+AF146+IF($B$19=1,Z146*'1_Assumptions'!$E$31,0)-AD146-(AI146-X146)</f>
        <v/>
      </c>
      <c r="AK146" s="39">
        <f>Z146*(1+'1_Assumptions'!$E$14)</f>
        <v/>
      </c>
      <c r="AL146" s="39">
        <f>AK146*(1-('1_Assumptions'!$E$20+$C146))</f>
        <v/>
      </c>
      <c r="AM146" s="39">
        <f>AK146-AL146-AK146*$B$11+AK146*$B$12</f>
        <v/>
      </c>
      <c r="AN146" s="39">
        <f>AE146*$B$13</f>
        <v/>
      </c>
      <c r="AO146" s="39">
        <f>AK146*'1_Assumptions'!$E$26</f>
        <v/>
      </c>
      <c r="AP146" s="39">
        <f>AE146+AO146-AN146</f>
        <v/>
      </c>
      <c r="AQ146" s="39">
        <f>AK146*$B$14</f>
        <v/>
      </c>
      <c r="AR146" s="39">
        <f>AG146-AQ146</f>
        <v/>
      </c>
      <c r="AS146" s="39">
        <f>AH146+AK146*$B$16-AH146/$B$18</f>
        <v/>
      </c>
      <c r="AT146" s="39">
        <f>AK146*'1_Assumptions'!$B$56/365+AL146*'1_Assumptions'!$B$57/365+AK146*'1_Assumptions'!$B$54-AL146*'1_Assumptions'!$B$58/365-AK146*'1_Assumptions'!$B$55</f>
        <v/>
      </c>
      <c r="AU146" s="39">
        <f>AM146*(1-$B$15)+AN146+AQ146+IF($B$19=1,AK146*'1_Assumptions'!$E$32,0)-AO146-(AT146-AI146)</f>
        <v/>
      </c>
      <c r="AV146" s="39">
        <f>AK146*(1+'1_Assumptions'!$E$15)</f>
        <v/>
      </c>
      <c r="AW146" s="39">
        <f>AV146*(1-('1_Assumptions'!$E$21+$C146))</f>
        <v/>
      </c>
      <c r="AX146" s="39">
        <f>AV146-AW146-AV146*$B$11+AV146*$B$12</f>
        <v/>
      </c>
      <c r="AY146" s="39">
        <f>AP146*$B$13</f>
        <v/>
      </c>
      <c r="AZ146" s="39">
        <f>AV146*'1_Assumptions'!$E$27</f>
        <v/>
      </c>
      <c r="BA146" s="39">
        <f>AP146+AZ146-AY146</f>
        <v/>
      </c>
      <c r="BB146" s="39">
        <f>AV146*$B$14</f>
        <v/>
      </c>
      <c r="BC146" s="39">
        <f>AR146-BB146</f>
        <v/>
      </c>
      <c r="BD146" s="39">
        <f>AS146+AV146*$B$16-AS146/$B$18</f>
        <v/>
      </c>
      <c r="BE146" s="39">
        <f>AV146*'1_Assumptions'!$B$56/365+AW146*'1_Assumptions'!$B$57/365+AV146*'1_Assumptions'!$B$54-AW146*'1_Assumptions'!$B$58/365-AV146*'1_Assumptions'!$B$55</f>
        <v/>
      </c>
      <c r="BF146" s="39">
        <f>AX146*(1-$B$15)+AY146+BB146+IF($B$19=1,AV146*'1_Assumptions'!$E$33,0)-AZ146-(BE146-AT146)</f>
        <v/>
      </c>
      <c r="BG146" s="39">
        <f>N146/(1+$B146)^(1-0.5*$B$23)+Y146/(1+$B146)^(2-0.5*$B$23)+AJ146/(1+$B146)^(3-0.5*$B$23)+AU146/(1+$B146)^(4-0.5*$B$23)+BF146/(1+$B146)^(5-0.5*$B$23)</f>
        <v/>
      </c>
      <c r="BH146" s="39">
        <f>BE146+BA146+BC146+$B$9+IF($B$17=1,BD146,0)</f>
        <v/>
      </c>
      <c r="BI146" s="19">
        <f>IF($B$32=2,$B146+$B$33,IF(BH146=0,0,BL146/BH146))</f>
        <v/>
      </c>
      <c r="BJ146" s="19">
        <f>IF(BI146=0,9,$B$22/BI146)</f>
        <v/>
      </c>
      <c r="BK146" s="55">
        <f>IF(OR(BH146&lt;=0,BI146&lt;=$B146,BJ146&gt;=1,BJ146&lt;0),1,0)</f>
        <v/>
      </c>
      <c r="BL146" s="39">
        <f>AX146*(1-$B$20)</f>
        <v/>
      </c>
      <c r="BM146" s="39">
        <f>IF(BK146=1,BL146,AX146*(1+$B$22)*(1-$B$20)*(1-BJ146))</f>
        <v/>
      </c>
      <c r="BN146" s="39">
        <f>IF(BK146=1,BL146/$B146,BM146/($B146-$B$22))</f>
        <v/>
      </c>
      <c r="BO146" s="39">
        <f>BN146/(1+$B146)^(5-0.5*$B$23)</f>
        <v/>
      </c>
      <c r="BP146" s="39">
        <f>BG146+BO146</f>
        <v/>
      </c>
      <c r="BQ146" s="39">
        <f>BP146*(1+$B146)^$B$24-N146*$B$24*(1+$B146)^($B$24/2)</f>
        <v/>
      </c>
      <c r="BR146" s="39">
        <f>BQ146-$B$25+$B$26+$B$27</f>
        <v/>
      </c>
      <c r="BS146" s="39">
        <f>IF($B$28=1,$B$30,BR146*$B$29)</f>
        <v/>
      </c>
      <c r="BT146" s="39">
        <f>BR146-BS146</f>
        <v/>
      </c>
      <c r="BU146" s="58">
        <f>BT146/$B$31</f>
        <v/>
      </c>
    </row>
    <row r="147">
      <c r="A147" s="17" t="inlineStr">
        <is>
          <t>5-3</t>
        </is>
      </c>
      <c r="B147" s="26">
        <f>$B$21+0.02</f>
        <v/>
      </c>
      <c r="C147" s="26" t="n">
        <v>0</v>
      </c>
      <c r="D147" s="39">
        <f>$B$5*(1+'1_Assumptions'!$E$11)</f>
        <v/>
      </c>
      <c r="E147" s="39">
        <f>D147*(1-('1_Assumptions'!$E$17+IF('1_Assumptions'!$B$39=1,0,$C147)))</f>
        <v/>
      </c>
      <c r="F147" s="39">
        <f>D147-E147-D147*$B$11+D147*$B$12</f>
        <v/>
      </c>
      <c r="G147" s="39">
        <f>$B$6*$B$13</f>
        <v/>
      </c>
      <c r="H147" s="39">
        <f>D147*'1_Assumptions'!$E$23</f>
        <v/>
      </c>
      <c r="I147" s="39">
        <f>$B$6+H147-G147</f>
        <v/>
      </c>
      <c r="J147" s="39">
        <f>D147*$B$14</f>
        <v/>
      </c>
      <c r="K147" s="39">
        <f>$B$7-J147</f>
        <v/>
      </c>
      <c r="L147" s="39">
        <f>$B$8+D147*$B$16-$B$8/$B$18</f>
        <v/>
      </c>
      <c r="M147" s="39">
        <f>D147*'1_Assumptions'!$B$56/365+E147*'1_Assumptions'!$B$57/365+D147*'1_Assumptions'!$B$54-E147*'1_Assumptions'!$B$58/365-D147*'1_Assumptions'!$B$55</f>
        <v/>
      </c>
      <c r="N147" s="39">
        <f>F147*(1-$B$15)+G147+J147+IF($B$19=1,D147*'1_Assumptions'!$E$29,0)-H147-(M147-$B$10)</f>
        <v/>
      </c>
      <c r="O147" s="39">
        <f>D147*(1+'1_Assumptions'!$E$12)</f>
        <v/>
      </c>
      <c r="P147" s="39">
        <f>O147*(1-('1_Assumptions'!$E$18+$C147))</f>
        <v/>
      </c>
      <c r="Q147" s="39">
        <f>O147-P147-O147*$B$11+O147*$B$12</f>
        <v/>
      </c>
      <c r="R147" s="39">
        <f>I147*$B$13</f>
        <v/>
      </c>
      <c r="S147" s="39">
        <f>O147*'1_Assumptions'!$E$24</f>
        <v/>
      </c>
      <c r="T147" s="39">
        <f>I147+S147-R147</f>
        <v/>
      </c>
      <c r="U147" s="39">
        <f>O147*$B$14</f>
        <v/>
      </c>
      <c r="V147" s="39">
        <f>K147-U147</f>
        <v/>
      </c>
      <c r="W147" s="39">
        <f>L147+O147*$B$16-L147/$B$18</f>
        <v/>
      </c>
      <c r="X147" s="39">
        <f>O147*'1_Assumptions'!$B$56/365+P147*'1_Assumptions'!$B$57/365+O147*'1_Assumptions'!$B$54-P147*'1_Assumptions'!$B$58/365-O147*'1_Assumptions'!$B$55</f>
        <v/>
      </c>
      <c r="Y147" s="39">
        <f>Q147*(1-$B$15)+R147+U147+IF($B$19=1,O147*'1_Assumptions'!$E$30,0)-S147-(X147-M147)</f>
        <v/>
      </c>
      <c r="Z147" s="39">
        <f>O147*(1+'1_Assumptions'!$E$13)</f>
        <v/>
      </c>
      <c r="AA147" s="39">
        <f>Z147*(1-('1_Assumptions'!$E$19+$C147))</f>
        <v/>
      </c>
      <c r="AB147" s="39">
        <f>Z147-AA147-Z147*$B$11+Z147*$B$12</f>
        <v/>
      </c>
      <c r="AC147" s="39">
        <f>T147*$B$13</f>
        <v/>
      </c>
      <c r="AD147" s="39">
        <f>Z147*'1_Assumptions'!$E$25</f>
        <v/>
      </c>
      <c r="AE147" s="39">
        <f>T147+AD147-AC147</f>
        <v/>
      </c>
      <c r="AF147" s="39">
        <f>Z147*$B$14</f>
        <v/>
      </c>
      <c r="AG147" s="39">
        <f>V147-AF147</f>
        <v/>
      </c>
      <c r="AH147" s="39">
        <f>W147+Z147*$B$16-W147/$B$18</f>
        <v/>
      </c>
      <c r="AI147" s="39">
        <f>Z147*'1_Assumptions'!$B$56/365+AA147*'1_Assumptions'!$B$57/365+Z147*'1_Assumptions'!$B$54-AA147*'1_Assumptions'!$B$58/365-Z147*'1_Assumptions'!$B$55</f>
        <v/>
      </c>
      <c r="AJ147" s="39">
        <f>AB147*(1-$B$15)+AC147+AF147+IF($B$19=1,Z147*'1_Assumptions'!$E$31,0)-AD147-(AI147-X147)</f>
        <v/>
      </c>
      <c r="AK147" s="39">
        <f>Z147*(1+'1_Assumptions'!$E$14)</f>
        <v/>
      </c>
      <c r="AL147" s="39">
        <f>AK147*(1-('1_Assumptions'!$E$20+$C147))</f>
        <v/>
      </c>
      <c r="AM147" s="39">
        <f>AK147-AL147-AK147*$B$11+AK147*$B$12</f>
        <v/>
      </c>
      <c r="AN147" s="39">
        <f>AE147*$B$13</f>
        <v/>
      </c>
      <c r="AO147" s="39">
        <f>AK147*'1_Assumptions'!$E$26</f>
        <v/>
      </c>
      <c r="AP147" s="39">
        <f>AE147+AO147-AN147</f>
        <v/>
      </c>
      <c r="AQ147" s="39">
        <f>AK147*$B$14</f>
        <v/>
      </c>
      <c r="AR147" s="39">
        <f>AG147-AQ147</f>
        <v/>
      </c>
      <c r="AS147" s="39">
        <f>AH147+AK147*$B$16-AH147/$B$18</f>
        <v/>
      </c>
      <c r="AT147" s="39">
        <f>AK147*'1_Assumptions'!$B$56/365+AL147*'1_Assumptions'!$B$57/365+AK147*'1_Assumptions'!$B$54-AL147*'1_Assumptions'!$B$58/365-AK147*'1_Assumptions'!$B$55</f>
        <v/>
      </c>
      <c r="AU147" s="39">
        <f>AM147*(1-$B$15)+AN147+AQ147+IF($B$19=1,AK147*'1_Assumptions'!$E$32,0)-AO147-(AT147-AI147)</f>
        <v/>
      </c>
      <c r="AV147" s="39">
        <f>AK147*(1+'1_Assumptions'!$E$15)</f>
        <v/>
      </c>
      <c r="AW147" s="39">
        <f>AV147*(1-('1_Assumptions'!$E$21+$C147))</f>
        <v/>
      </c>
      <c r="AX147" s="39">
        <f>AV147-AW147-AV147*$B$11+AV147*$B$12</f>
        <v/>
      </c>
      <c r="AY147" s="39">
        <f>AP147*$B$13</f>
        <v/>
      </c>
      <c r="AZ147" s="39">
        <f>AV147*'1_Assumptions'!$E$27</f>
        <v/>
      </c>
      <c r="BA147" s="39">
        <f>AP147+AZ147-AY147</f>
        <v/>
      </c>
      <c r="BB147" s="39">
        <f>AV147*$B$14</f>
        <v/>
      </c>
      <c r="BC147" s="39">
        <f>AR147-BB147</f>
        <v/>
      </c>
      <c r="BD147" s="39">
        <f>AS147+AV147*$B$16-AS147/$B$18</f>
        <v/>
      </c>
      <c r="BE147" s="39">
        <f>AV147*'1_Assumptions'!$B$56/365+AW147*'1_Assumptions'!$B$57/365+AV147*'1_Assumptions'!$B$54-AW147*'1_Assumptions'!$B$58/365-AV147*'1_Assumptions'!$B$55</f>
        <v/>
      </c>
      <c r="BF147" s="39">
        <f>AX147*(1-$B$15)+AY147+BB147+IF($B$19=1,AV147*'1_Assumptions'!$E$33,0)-AZ147-(BE147-AT147)</f>
        <v/>
      </c>
      <c r="BG147" s="39">
        <f>N147/(1+$B147)^(1-0.5*$B$23)+Y147/(1+$B147)^(2-0.5*$B$23)+AJ147/(1+$B147)^(3-0.5*$B$23)+AU147/(1+$B147)^(4-0.5*$B$23)+BF147/(1+$B147)^(5-0.5*$B$23)</f>
        <v/>
      </c>
      <c r="BH147" s="39">
        <f>BE147+BA147+BC147+$B$9+IF($B$17=1,BD147,0)</f>
        <v/>
      </c>
      <c r="BI147" s="19">
        <f>IF($B$32=2,$B147+$B$33,IF(BH147=0,0,BL147/BH147))</f>
        <v/>
      </c>
      <c r="BJ147" s="19">
        <f>IF(BI147=0,9,$B$22/BI147)</f>
        <v/>
      </c>
      <c r="BK147" s="55">
        <f>IF(OR(BH147&lt;=0,BI147&lt;=$B147,BJ147&gt;=1,BJ147&lt;0),1,0)</f>
        <v/>
      </c>
      <c r="BL147" s="39">
        <f>AX147*(1-$B$20)</f>
        <v/>
      </c>
      <c r="BM147" s="39">
        <f>IF(BK147=1,BL147,AX147*(1+$B$22)*(1-$B$20)*(1-BJ147))</f>
        <v/>
      </c>
      <c r="BN147" s="39">
        <f>IF(BK147=1,BL147/$B147,BM147/($B147-$B$22))</f>
        <v/>
      </c>
      <c r="BO147" s="39">
        <f>BN147/(1+$B147)^(5-0.5*$B$23)</f>
        <v/>
      </c>
      <c r="BP147" s="39">
        <f>BG147+BO147</f>
        <v/>
      </c>
      <c r="BQ147" s="39">
        <f>BP147*(1+$B147)^$B$24-N147*$B$24*(1+$B147)^($B$24/2)</f>
        <v/>
      </c>
      <c r="BR147" s="39">
        <f>BQ147-$B$25+$B$26+$B$27</f>
        <v/>
      </c>
      <c r="BS147" s="39">
        <f>IF($B$28=1,$B$30,BR147*$B$29)</f>
        <v/>
      </c>
      <c r="BT147" s="39">
        <f>BR147-BS147</f>
        <v/>
      </c>
      <c r="BU147" s="58">
        <f>BT147/$B$31</f>
        <v/>
      </c>
    </row>
    <row r="148">
      <c r="A148" s="17" t="inlineStr">
        <is>
          <t>5-4</t>
        </is>
      </c>
      <c r="B148" s="26">
        <f>$B$21+0.02</f>
        <v/>
      </c>
      <c r="C148" s="26" t="n">
        <v>0.02</v>
      </c>
      <c r="D148" s="39">
        <f>$B$5*(1+'1_Assumptions'!$E$11)</f>
        <v/>
      </c>
      <c r="E148" s="39">
        <f>D148*(1-('1_Assumptions'!$E$17+IF('1_Assumptions'!$B$39=1,0,$C148)))</f>
        <v/>
      </c>
      <c r="F148" s="39">
        <f>D148-E148-D148*$B$11+D148*$B$12</f>
        <v/>
      </c>
      <c r="G148" s="39">
        <f>$B$6*$B$13</f>
        <v/>
      </c>
      <c r="H148" s="39">
        <f>D148*'1_Assumptions'!$E$23</f>
        <v/>
      </c>
      <c r="I148" s="39">
        <f>$B$6+H148-G148</f>
        <v/>
      </c>
      <c r="J148" s="39">
        <f>D148*$B$14</f>
        <v/>
      </c>
      <c r="K148" s="39">
        <f>$B$7-J148</f>
        <v/>
      </c>
      <c r="L148" s="39">
        <f>$B$8+D148*$B$16-$B$8/$B$18</f>
        <v/>
      </c>
      <c r="M148" s="39">
        <f>D148*'1_Assumptions'!$B$56/365+E148*'1_Assumptions'!$B$57/365+D148*'1_Assumptions'!$B$54-E148*'1_Assumptions'!$B$58/365-D148*'1_Assumptions'!$B$55</f>
        <v/>
      </c>
      <c r="N148" s="39">
        <f>F148*(1-$B$15)+G148+J148+IF($B$19=1,D148*'1_Assumptions'!$E$29,0)-H148-(M148-$B$10)</f>
        <v/>
      </c>
      <c r="O148" s="39">
        <f>D148*(1+'1_Assumptions'!$E$12)</f>
        <v/>
      </c>
      <c r="P148" s="39">
        <f>O148*(1-('1_Assumptions'!$E$18+$C148))</f>
        <v/>
      </c>
      <c r="Q148" s="39">
        <f>O148-P148-O148*$B$11+O148*$B$12</f>
        <v/>
      </c>
      <c r="R148" s="39">
        <f>I148*$B$13</f>
        <v/>
      </c>
      <c r="S148" s="39">
        <f>O148*'1_Assumptions'!$E$24</f>
        <v/>
      </c>
      <c r="T148" s="39">
        <f>I148+S148-R148</f>
        <v/>
      </c>
      <c r="U148" s="39">
        <f>O148*$B$14</f>
        <v/>
      </c>
      <c r="V148" s="39">
        <f>K148-U148</f>
        <v/>
      </c>
      <c r="W148" s="39">
        <f>L148+O148*$B$16-L148/$B$18</f>
        <v/>
      </c>
      <c r="X148" s="39">
        <f>O148*'1_Assumptions'!$B$56/365+P148*'1_Assumptions'!$B$57/365+O148*'1_Assumptions'!$B$54-P148*'1_Assumptions'!$B$58/365-O148*'1_Assumptions'!$B$55</f>
        <v/>
      </c>
      <c r="Y148" s="39">
        <f>Q148*(1-$B$15)+R148+U148+IF($B$19=1,O148*'1_Assumptions'!$E$30,0)-S148-(X148-M148)</f>
        <v/>
      </c>
      <c r="Z148" s="39">
        <f>O148*(1+'1_Assumptions'!$E$13)</f>
        <v/>
      </c>
      <c r="AA148" s="39">
        <f>Z148*(1-('1_Assumptions'!$E$19+$C148))</f>
        <v/>
      </c>
      <c r="AB148" s="39">
        <f>Z148-AA148-Z148*$B$11+Z148*$B$12</f>
        <v/>
      </c>
      <c r="AC148" s="39">
        <f>T148*$B$13</f>
        <v/>
      </c>
      <c r="AD148" s="39">
        <f>Z148*'1_Assumptions'!$E$25</f>
        <v/>
      </c>
      <c r="AE148" s="39">
        <f>T148+AD148-AC148</f>
        <v/>
      </c>
      <c r="AF148" s="39">
        <f>Z148*$B$14</f>
        <v/>
      </c>
      <c r="AG148" s="39">
        <f>V148-AF148</f>
        <v/>
      </c>
      <c r="AH148" s="39">
        <f>W148+Z148*$B$16-W148/$B$18</f>
        <v/>
      </c>
      <c r="AI148" s="39">
        <f>Z148*'1_Assumptions'!$B$56/365+AA148*'1_Assumptions'!$B$57/365+Z148*'1_Assumptions'!$B$54-AA148*'1_Assumptions'!$B$58/365-Z148*'1_Assumptions'!$B$55</f>
        <v/>
      </c>
      <c r="AJ148" s="39">
        <f>AB148*(1-$B$15)+AC148+AF148+IF($B$19=1,Z148*'1_Assumptions'!$E$31,0)-AD148-(AI148-X148)</f>
        <v/>
      </c>
      <c r="AK148" s="39">
        <f>Z148*(1+'1_Assumptions'!$E$14)</f>
        <v/>
      </c>
      <c r="AL148" s="39">
        <f>AK148*(1-('1_Assumptions'!$E$20+$C148))</f>
        <v/>
      </c>
      <c r="AM148" s="39">
        <f>AK148-AL148-AK148*$B$11+AK148*$B$12</f>
        <v/>
      </c>
      <c r="AN148" s="39">
        <f>AE148*$B$13</f>
        <v/>
      </c>
      <c r="AO148" s="39">
        <f>AK148*'1_Assumptions'!$E$26</f>
        <v/>
      </c>
      <c r="AP148" s="39">
        <f>AE148+AO148-AN148</f>
        <v/>
      </c>
      <c r="AQ148" s="39">
        <f>AK148*$B$14</f>
        <v/>
      </c>
      <c r="AR148" s="39">
        <f>AG148-AQ148</f>
        <v/>
      </c>
      <c r="AS148" s="39">
        <f>AH148+AK148*$B$16-AH148/$B$18</f>
        <v/>
      </c>
      <c r="AT148" s="39">
        <f>AK148*'1_Assumptions'!$B$56/365+AL148*'1_Assumptions'!$B$57/365+AK148*'1_Assumptions'!$B$54-AL148*'1_Assumptions'!$B$58/365-AK148*'1_Assumptions'!$B$55</f>
        <v/>
      </c>
      <c r="AU148" s="39">
        <f>AM148*(1-$B$15)+AN148+AQ148+IF($B$19=1,AK148*'1_Assumptions'!$E$32,0)-AO148-(AT148-AI148)</f>
        <v/>
      </c>
      <c r="AV148" s="39">
        <f>AK148*(1+'1_Assumptions'!$E$15)</f>
        <v/>
      </c>
      <c r="AW148" s="39">
        <f>AV148*(1-('1_Assumptions'!$E$21+$C148))</f>
        <v/>
      </c>
      <c r="AX148" s="39">
        <f>AV148-AW148-AV148*$B$11+AV148*$B$12</f>
        <v/>
      </c>
      <c r="AY148" s="39">
        <f>AP148*$B$13</f>
        <v/>
      </c>
      <c r="AZ148" s="39">
        <f>AV148*'1_Assumptions'!$E$27</f>
        <v/>
      </c>
      <c r="BA148" s="39">
        <f>AP148+AZ148-AY148</f>
        <v/>
      </c>
      <c r="BB148" s="39">
        <f>AV148*$B$14</f>
        <v/>
      </c>
      <c r="BC148" s="39">
        <f>AR148-BB148</f>
        <v/>
      </c>
      <c r="BD148" s="39">
        <f>AS148+AV148*$B$16-AS148/$B$18</f>
        <v/>
      </c>
      <c r="BE148" s="39">
        <f>AV148*'1_Assumptions'!$B$56/365+AW148*'1_Assumptions'!$B$57/365+AV148*'1_Assumptions'!$B$54-AW148*'1_Assumptions'!$B$58/365-AV148*'1_Assumptions'!$B$55</f>
        <v/>
      </c>
      <c r="BF148" s="39">
        <f>AX148*(1-$B$15)+AY148+BB148+IF($B$19=1,AV148*'1_Assumptions'!$E$33,0)-AZ148-(BE148-AT148)</f>
        <v/>
      </c>
      <c r="BG148" s="39">
        <f>N148/(1+$B148)^(1-0.5*$B$23)+Y148/(1+$B148)^(2-0.5*$B$23)+AJ148/(1+$B148)^(3-0.5*$B$23)+AU148/(1+$B148)^(4-0.5*$B$23)+BF148/(1+$B148)^(5-0.5*$B$23)</f>
        <v/>
      </c>
      <c r="BH148" s="39">
        <f>BE148+BA148+BC148+$B$9+IF($B$17=1,BD148,0)</f>
        <v/>
      </c>
      <c r="BI148" s="19">
        <f>IF($B$32=2,$B148+$B$33,IF(BH148=0,0,BL148/BH148))</f>
        <v/>
      </c>
      <c r="BJ148" s="19">
        <f>IF(BI148=0,9,$B$22/BI148)</f>
        <v/>
      </c>
      <c r="BK148" s="55">
        <f>IF(OR(BH148&lt;=0,BI148&lt;=$B148,BJ148&gt;=1,BJ148&lt;0),1,0)</f>
        <v/>
      </c>
      <c r="BL148" s="39">
        <f>AX148*(1-$B$20)</f>
        <v/>
      </c>
      <c r="BM148" s="39">
        <f>IF(BK148=1,BL148,AX148*(1+$B$22)*(1-$B$20)*(1-BJ148))</f>
        <v/>
      </c>
      <c r="BN148" s="39">
        <f>IF(BK148=1,BL148/$B148,BM148/($B148-$B$22))</f>
        <v/>
      </c>
      <c r="BO148" s="39">
        <f>BN148/(1+$B148)^(5-0.5*$B$23)</f>
        <v/>
      </c>
      <c r="BP148" s="39">
        <f>BG148+BO148</f>
        <v/>
      </c>
      <c r="BQ148" s="39">
        <f>BP148*(1+$B148)^$B$24-N148*$B$24*(1+$B148)^($B$24/2)</f>
        <v/>
      </c>
      <c r="BR148" s="39">
        <f>BQ148-$B$25+$B$26+$B$27</f>
        <v/>
      </c>
      <c r="BS148" s="39">
        <f>IF($B$28=1,$B$30,BR148*$B$29)</f>
        <v/>
      </c>
      <c r="BT148" s="39">
        <f>BR148-BS148</f>
        <v/>
      </c>
      <c r="BU148" s="58">
        <f>BT148/$B$31</f>
        <v/>
      </c>
    </row>
    <row r="149">
      <c r="A149" s="17" t="inlineStr">
        <is>
          <t>5-5</t>
        </is>
      </c>
      <c r="B149" s="26">
        <f>$B$21+0.02</f>
        <v/>
      </c>
      <c r="C149" s="26" t="n">
        <v>0.04</v>
      </c>
      <c r="D149" s="39">
        <f>$B$5*(1+'1_Assumptions'!$E$11)</f>
        <v/>
      </c>
      <c r="E149" s="39">
        <f>D149*(1-('1_Assumptions'!$E$17+IF('1_Assumptions'!$B$39=1,0,$C149)))</f>
        <v/>
      </c>
      <c r="F149" s="39">
        <f>D149-E149-D149*$B$11+D149*$B$12</f>
        <v/>
      </c>
      <c r="G149" s="39">
        <f>$B$6*$B$13</f>
        <v/>
      </c>
      <c r="H149" s="39">
        <f>D149*'1_Assumptions'!$E$23</f>
        <v/>
      </c>
      <c r="I149" s="39">
        <f>$B$6+H149-G149</f>
        <v/>
      </c>
      <c r="J149" s="39">
        <f>D149*$B$14</f>
        <v/>
      </c>
      <c r="K149" s="39">
        <f>$B$7-J149</f>
        <v/>
      </c>
      <c r="L149" s="39">
        <f>$B$8+D149*$B$16-$B$8/$B$18</f>
        <v/>
      </c>
      <c r="M149" s="39">
        <f>D149*'1_Assumptions'!$B$56/365+E149*'1_Assumptions'!$B$57/365+D149*'1_Assumptions'!$B$54-E149*'1_Assumptions'!$B$58/365-D149*'1_Assumptions'!$B$55</f>
        <v/>
      </c>
      <c r="N149" s="39">
        <f>F149*(1-$B$15)+G149+J149+IF($B$19=1,D149*'1_Assumptions'!$E$29,0)-H149-(M149-$B$10)</f>
        <v/>
      </c>
      <c r="O149" s="39">
        <f>D149*(1+'1_Assumptions'!$E$12)</f>
        <v/>
      </c>
      <c r="P149" s="39">
        <f>O149*(1-('1_Assumptions'!$E$18+$C149))</f>
        <v/>
      </c>
      <c r="Q149" s="39">
        <f>O149-P149-O149*$B$11+O149*$B$12</f>
        <v/>
      </c>
      <c r="R149" s="39">
        <f>I149*$B$13</f>
        <v/>
      </c>
      <c r="S149" s="39">
        <f>O149*'1_Assumptions'!$E$24</f>
        <v/>
      </c>
      <c r="T149" s="39">
        <f>I149+S149-R149</f>
        <v/>
      </c>
      <c r="U149" s="39">
        <f>O149*$B$14</f>
        <v/>
      </c>
      <c r="V149" s="39">
        <f>K149-U149</f>
        <v/>
      </c>
      <c r="W149" s="39">
        <f>L149+O149*$B$16-L149/$B$18</f>
        <v/>
      </c>
      <c r="X149" s="39">
        <f>O149*'1_Assumptions'!$B$56/365+P149*'1_Assumptions'!$B$57/365+O149*'1_Assumptions'!$B$54-P149*'1_Assumptions'!$B$58/365-O149*'1_Assumptions'!$B$55</f>
        <v/>
      </c>
      <c r="Y149" s="39">
        <f>Q149*(1-$B$15)+R149+U149+IF($B$19=1,O149*'1_Assumptions'!$E$30,0)-S149-(X149-M149)</f>
        <v/>
      </c>
      <c r="Z149" s="39">
        <f>O149*(1+'1_Assumptions'!$E$13)</f>
        <v/>
      </c>
      <c r="AA149" s="39">
        <f>Z149*(1-('1_Assumptions'!$E$19+$C149))</f>
        <v/>
      </c>
      <c r="AB149" s="39">
        <f>Z149-AA149-Z149*$B$11+Z149*$B$12</f>
        <v/>
      </c>
      <c r="AC149" s="39">
        <f>T149*$B$13</f>
        <v/>
      </c>
      <c r="AD149" s="39">
        <f>Z149*'1_Assumptions'!$E$25</f>
        <v/>
      </c>
      <c r="AE149" s="39">
        <f>T149+AD149-AC149</f>
        <v/>
      </c>
      <c r="AF149" s="39">
        <f>Z149*$B$14</f>
        <v/>
      </c>
      <c r="AG149" s="39">
        <f>V149-AF149</f>
        <v/>
      </c>
      <c r="AH149" s="39">
        <f>W149+Z149*$B$16-W149/$B$18</f>
        <v/>
      </c>
      <c r="AI149" s="39">
        <f>Z149*'1_Assumptions'!$B$56/365+AA149*'1_Assumptions'!$B$57/365+Z149*'1_Assumptions'!$B$54-AA149*'1_Assumptions'!$B$58/365-Z149*'1_Assumptions'!$B$55</f>
        <v/>
      </c>
      <c r="AJ149" s="39">
        <f>AB149*(1-$B$15)+AC149+AF149+IF($B$19=1,Z149*'1_Assumptions'!$E$31,0)-AD149-(AI149-X149)</f>
        <v/>
      </c>
      <c r="AK149" s="39">
        <f>Z149*(1+'1_Assumptions'!$E$14)</f>
        <v/>
      </c>
      <c r="AL149" s="39">
        <f>AK149*(1-('1_Assumptions'!$E$20+$C149))</f>
        <v/>
      </c>
      <c r="AM149" s="39">
        <f>AK149-AL149-AK149*$B$11+AK149*$B$12</f>
        <v/>
      </c>
      <c r="AN149" s="39">
        <f>AE149*$B$13</f>
        <v/>
      </c>
      <c r="AO149" s="39">
        <f>AK149*'1_Assumptions'!$E$26</f>
        <v/>
      </c>
      <c r="AP149" s="39">
        <f>AE149+AO149-AN149</f>
        <v/>
      </c>
      <c r="AQ149" s="39">
        <f>AK149*$B$14</f>
        <v/>
      </c>
      <c r="AR149" s="39">
        <f>AG149-AQ149</f>
        <v/>
      </c>
      <c r="AS149" s="39">
        <f>AH149+AK149*$B$16-AH149/$B$18</f>
        <v/>
      </c>
      <c r="AT149" s="39">
        <f>AK149*'1_Assumptions'!$B$56/365+AL149*'1_Assumptions'!$B$57/365+AK149*'1_Assumptions'!$B$54-AL149*'1_Assumptions'!$B$58/365-AK149*'1_Assumptions'!$B$55</f>
        <v/>
      </c>
      <c r="AU149" s="39">
        <f>AM149*(1-$B$15)+AN149+AQ149+IF($B$19=1,AK149*'1_Assumptions'!$E$32,0)-AO149-(AT149-AI149)</f>
        <v/>
      </c>
      <c r="AV149" s="39">
        <f>AK149*(1+'1_Assumptions'!$E$15)</f>
        <v/>
      </c>
      <c r="AW149" s="39">
        <f>AV149*(1-('1_Assumptions'!$E$21+$C149))</f>
        <v/>
      </c>
      <c r="AX149" s="39">
        <f>AV149-AW149-AV149*$B$11+AV149*$B$12</f>
        <v/>
      </c>
      <c r="AY149" s="39">
        <f>AP149*$B$13</f>
        <v/>
      </c>
      <c r="AZ149" s="39">
        <f>AV149*'1_Assumptions'!$E$27</f>
        <v/>
      </c>
      <c r="BA149" s="39">
        <f>AP149+AZ149-AY149</f>
        <v/>
      </c>
      <c r="BB149" s="39">
        <f>AV149*$B$14</f>
        <v/>
      </c>
      <c r="BC149" s="39">
        <f>AR149-BB149</f>
        <v/>
      </c>
      <c r="BD149" s="39">
        <f>AS149+AV149*$B$16-AS149/$B$18</f>
        <v/>
      </c>
      <c r="BE149" s="39">
        <f>AV149*'1_Assumptions'!$B$56/365+AW149*'1_Assumptions'!$B$57/365+AV149*'1_Assumptions'!$B$54-AW149*'1_Assumptions'!$B$58/365-AV149*'1_Assumptions'!$B$55</f>
        <v/>
      </c>
      <c r="BF149" s="39">
        <f>AX149*(1-$B$15)+AY149+BB149+IF($B$19=1,AV149*'1_Assumptions'!$E$33,0)-AZ149-(BE149-AT149)</f>
        <v/>
      </c>
      <c r="BG149" s="39">
        <f>N149/(1+$B149)^(1-0.5*$B$23)+Y149/(1+$B149)^(2-0.5*$B$23)+AJ149/(1+$B149)^(3-0.5*$B$23)+AU149/(1+$B149)^(4-0.5*$B$23)+BF149/(1+$B149)^(5-0.5*$B$23)</f>
        <v/>
      </c>
      <c r="BH149" s="39">
        <f>BE149+BA149+BC149+$B$9+IF($B$17=1,BD149,0)</f>
        <v/>
      </c>
      <c r="BI149" s="19">
        <f>IF($B$32=2,$B149+$B$33,IF(BH149=0,0,BL149/BH149))</f>
        <v/>
      </c>
      <c r="BJ149" s="19">
        <f>IF(BI149=0,9,$B$22/BI149)</f>
        <v/>
      </c>
      <c r="BK149" s="55">
        <f>IF(OR(BH149&lt;=0,BI149&lt;=$B149,BJ149&gt;=1,BJ149&lt;0),1,0)</f>
        <v/>
      </c>
      <c r="BL149" s="39">
        <f>AX149*(1-$B$20)</f>
        <v/>
      </c>
      <c r="BM149" s="39">
        <f>IF(BK149=1,BL149,AX149*(1+$B$22)*(1-$B$20)*(1-BJ149))</f>
        <v/>
      </c>
      <c r="BN149" s="39">
        <f>IF(BK149=1,BL149/$B149,BM149/($B149-$B$22))</f>
        <v/>
      </c>
      <c r="BO149" s="39">
        <f>BN149/(1+$B149)^(5-0.5*$B$23)</f>
        <v/>
      </c>
      <c r="BP149" s="39">
        <f>BG149+BO149</f>
        <v/>
      </c>
      <c r="BQ149" s="39">
        <f>BP149*(1+$B149)^$B$24-N149*$B$24*(1+$B149)^($B$24/2)</f>
        <v/>
      </c>
      <c r="BR149" s="39">
        <f>BQ149-$B$25+$B$26+$B$27</f>
        <v/>
      </c>
      <c r="BS149" s="39">
        <f>IF($B$28=1,$B$30,BR149*$B$29)</f>
        <v/>
      </c>
      <c r="BT149" s="39">
        <f>BR149-BS149</f>
        <v/>
      </c>
      <c r="BU149" s="58">
        <f>BT149/$B$31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AAPL — 主要财务比率与杜邦分析（百万美元）</t>
        </is>
      </c>
    </row>
    <row r="2">
      <c r="A2" s="51" t="inlineStr">
        <is>
          <t>全部为活公式，取自三张报表；改「1_Assumptions」本页与下方图表自动重算。历史列为实际、预测列为模型输出。</t>
        </is>
      </c>
    </row>
    <row r="4">
      <c r="A4" s="4" t="inlineStr">
        <is>
          <t>一、盈利能力 Profitability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11" t="inlineStr">
        <is>
          <t>指标</t>
        </is>
      </c>
      <c r="B5" s="43" t="inlineStr">
        <is>
          <t>FY2021A</t>
        </is>
      </c>
      <c r="C5" s="43" t="inlineStr">
        <is>
          <t>FY2022A</t>
        </is>
      </c>
      <c r="D5" s="43" t="inlineStr">
        <is>
          <t>FY2023A</t>
        </is>
      </c>
      <c r="E5" s="43" t="inlineStr">
        <is>
          <t>FY2024A</t>
        </is>
      </c>
      <c r="F5" s="43" t="inlineStr">
        <is>
          <t>FY2025A</t>
        </is>
      </c>
      <c r="G5" s="10" t="inlineStr">
        <is>
          <t>FY2026E</t>
        </is>
      </c>
      <c r="H5" s="10" t="inlineStr">
        <is>
          <t>FY2027E</t>
        </is>
      </c>
      <c r="I5" s="10" t="inlineStr">
        <is>
          <t>FY2028E</t>
        </is>
      </c>
      <c r="J5" s="10" t="inlineStr">
        <is>
          <t>FY2029E</t>
        </is>
      </c>
      <c r="K5" s="10" t="inlineStr">
        <is>
          <t>FY2030E</t>
        </is>
      </c>
    </row>
    <row r="6">
      <c r="A6" s="12" t="inlineStr">
        <is>
          <t>Gross margin 毛利率</t>
        </is>
      </c>
      <c r="B6" s="45">
        <f>IFERROR('2_Income'!B9/'2_Income'!B6,"")</f>
        <v/>
      </c>
      <c r="C6" s="45">
        <f>IFERROR('2_Income'!C9/'2_Income'!C6,"")</f>
        <v/>
      </c>
      <c r="D6" s="45">
        <f>IFERROR('2_Income'!D9/'2_Income'!D6,"")</f>
        <v/>
      </c>
      <c r="E6" s="45">
        <f>IFERROR('2_Income'!E9/'2_Income'!E6,"")</f>
        <v/>
      </c>
      <c r="F6" s="45">
        <f>IFERROR('2_Income'!F9/'2_Income'!F6,"")</f>
        <v/>
      </c>
      <c r="G6" s="14">
        <f>IFERROR('2_Income'!G9/'2_Income'!G6,"")</f>
        <v/>
      </c>
      <c r="H6" s="14">
        <f>IFERROR('2_Income'!H9/'2_Income'!H6,"")</f>
        <v/>
      </c>
      <c r="I6" s="14">
        <f>IFERROR('2_Income'!I9/'2_Income'!I6,"")</f>
        <v/>
      </c>
      <c r="J6" s="14">
        <f>IFERROR('2_Income'!J9/'2_Income'!J6,"")</f>
        <v/>
      </c>
      <c r="K6" s="14">
        <f>IFERROR('2_Income'!K9/'2_Income'!K6,"")</f>
        <v/>
      </c>
    </row>
    <row r="7">
      <c r="A7" s="12" t="inlineStr">
        <is>
          <t>EBIT margin 经营利润率</t>
        </is>
      </c>
      <c r="B7" s="45">
        <f>IFERROR('2_Income'!B14/'2_Income'!B6,"")</f>
        <v/>
      </c>
      <c r="C7" s="45">
        <f>IFERROR('2_Income'!C14/'2_Income'!C6,"")</f>
        <v/>
      </c>
      <c r="D7" s="45">
        <f>IFERROR('2_Income'!D14/'2_Income'!D6,"")</f>
        <v/>
      </c>
      <c r="E7" s="45">
        <f>IFERROR('2_Income'!E14/'2_Income'!E6,"")</f>
        <v/>
      </c>
      <c r="F7" s="45">
        <f>IFERROR('2_Income'!F14/'2_Income'!F6,"")</f>
        <v/>
      </c>
      <c r="G7" s="14">
        <f>IFERROR('2_Income'!G14/'2_Income'!G6,"")</f>
        <v/>
      </c>
      <c r="H7" s="14">
        <f>IFERROR('2_Income'!H14/'2_Income'!H6,"")</f>
        <v/>
      </c>
      <c r="I7" s="14">
        <f>IFERROR('2_Income'!I14/'2_Income'!I6,"")</f>
        <v/>
      </c>
      <c r="J7" s="14">
        <f>IFERROR('2_Income'!J14/'2_Income'!J6,"")</f>
        <v/>
      </c>
      <c r="K7" s="14">
        <f>IFERROR('2_Income'!K14/'2_Income'!K6,"")</f>
        <v/>
      </c>
    </row>
    <row r="8">
      <c r="A8" s="12" t="inlineStr">
        <is>
          <t>Net margin 归母净利率</t>
        </is>
      </c>
      <c r="B8" s="45">
        <f>IFERROR('2_Income'!B22/'2_Income'!B6,"")</f>
        <v/>
      </c>
      <c r="C8" s="45">
        <f>IFERROR('2_Income'!C22/'2_Income'!C6,"")</f>
        <v/>
      </c>
      <c r="D8" s="45">
        <f>IFERROR('2_Income'!D22/'2_Income'!D6,"")</f>
        <v/>
      </c>
      <c r="E8" s="45">
        <f>IFERROR('2_Income'!E22/'2_Income'!E6,"")</f>
        <v/>
      </c>
      <c r="F8" s="45">
        <f>IFERROR('2_Income'!F22/'2_Income'!F6,"")</f>
        <v/>
      </c>
      <c r="G8" s="14">
        <f>IFERROR('2_Income'!G22/'2_Income'!G6,"")</f>
        <v/>
      </c>
      <c r="H8" s="14">
        <f>IFERROR('2_Income'!H22/'2_Income'!H6,"")</f>
        <v/>
      </c>
      <c r="I8" s="14">
        <f>IFERROR('2_Income'!I22/'2_Income'!I6,"")</f>
        <v/>
      </c>
      <c r="J8" s="14">
        <f>IFERROR('2_Income'!J22/'2_Income'!J6,"")</f>
        <v/>
      </c>
      <c r="K8" s="14">
        <f>IFERROR('2_Income'!K22/'2_Income'!K6,"")</f>
        <v/>
      </c>
    </row>
    <row r="9">
      <c r="A9" s="12" t="inlineStr">
        <is>
          <t>SBC / Revenue 股份支付占营收</t>
        </is>
      </c>
      <c r="B9" s="45">
        <f>IFERROR('2_Income'!B26/'2_Income'!B6,"")</f>
        <v/>
      </c>
      <c r="C9" s="45">
        <f>IFERROR('2_Income'!C26/'2_Income'!C6,"")</f>
        <v/>
      </c>
      <c r="D9" s="45">
        <f>IFERROR('2_Income'!D26/'2_Income'!D6,"")</f>
        <v/>
      </c>
      <c r="E9" s="45">
        <f>IFERROR('2_Income'!E26/'2_Income'!E6,"")</f>
        <v/>
      </c>
      <c r="F9" s="45">
        <f>IFERROR('2_Income'!F26/'2_Income'!F6,"")</f>
        <v/>
      </c>
      <c r="G9" s="14">
        <f>IFERROR('2_Income'!G26/'2_Income'!G6,"")</f>
        <v/>
      </c>
      <c r="H9" s="14">
        <f>IFERROR('2_Income'!H26/'2_Income'!H6,"")</f>
        <v/>
      </c>
      <c r="I9" s="14">
        <f>IFERROR('2_Income'!I26/'2_Income'!I6,"")</f>
        <v/>
      </c>
      <c r="J9" s="14">
        <f>IFERROR('2_Income'!J26/'2_Income'!J6,"")</f>
        <v/>
      </c>
      <c r="K9" s="14">
        <f>IFERROR('2_Income'!K26/'2_Income'!K6,"")</f>
        <v/>
      </c>
    </row>
    <row r="10">
      <c r="A10" s="44" t="inlineStr">
        <is>
          <t>ROE（归母 / 平均权益）</t>
        </is>
      </c>
      <c r="B10" s="59">
        <f>IFERROR('2_Income'!B22/'3_Balance'!B25,"")</f>
        <v/>
      </c>
      <c r="C10" s="59">
        <f>IFERROR('2_Income'!C22/AVERAGE('3_Balance'!B25,'3_Balance'!C25),"")</f>
        <v/>
      </c>
      <c r="D10" s="59">
        <f>IFERROR('2_Income'!D22/AVERAGE('3_Balance'!C25,'3_Balance'!D25),"")</f>
        <v/>
      </c>
      <c r="E10" s="59">
        <f>IFERROR('2_Income'!E22/AVERAGE('3_Balance'!D25,'3_Balance'!E25),"")</f>
        <v/>
      </c>
      <c r="F10" s="59">
        <f>IFERROR('2_Income'!F22/AVERAGE('3_Balance'!E25,'3_Balance'!F25),"")</f>
        <v/>
      </c>
      <c r="G10" s="59">
        <f>IFERROR('2_Income'!G22/AVERAGE('3_Balance'!F25,'3_Balance'!G25),"")</f>
        <v/>
      </c>
      <c r="H10" s="59">
        <f>IFERROR('2_Income'!H22/AVERAGE('3_Balance'!G25,'3_Balance'!H25),"")</f>
        <v/>
      </c>
      <c r="I10" s="59">
        <f>IFERROR('2_Income'!I22/AVERAGE('3_Balance'!H25,'3_Balance'!I25),"")</f>
        <v/>
      </c>
      <c r="J10" s="59">
        <f>IFERROR('2_Income'!J22/AVERAGE('3_Balance'!I25,'3_Balance'!J25),"")</f>
        <v/>
      </c>
      <c r="K10" s="59">
        <f>IFERROR('2_Income'!K22/AVERAGE('3_Balance'!J25,'3_Balance'!K25),"")</f>
        <v/>
      </c>
    </row>
    <row r="11">
      <c r="A11" s="12" t="inlineStr">
        <is>
          <t>ROA（净利 / 平均总资产）</t>
        </is>
      </c>
      <c r="B11" s="45">
        <f>IFERROR('2_Income'!B20/'3_Balance'!B16,"")</f>
        <v/>
      </c>
      <c r="C11" s="45">
        <f>IFERROR('2_Income'!C20/AVERAGE('3_Balance'!B16,'3_Balance'!C16),"")</f>
        <v/>
      </c>
      <c r="D11" s="45">
        <f>IFERROR('2_Income'!D20/AVERAGE('3_Balance'!C16,'3_Balance'!D16),"")</f>
        <v/>
      </c>
      <c r="E11" s="45">
        <f>IFERROR('2_Income'!E20/AVERAGE('3_Balance'!D16,'3_Balance'!E16),"")</f>
        <v/>
      </c>
      <c r="F11" s="45">
        <f>IFERROR('2_Income'!F20/AVERAGE('3_Balance'!E16,'3_Balance'!F16),"")</f>
        <v/>
      </c>
      <c r="G11" s="14">
        <f>IFERROR('2_Income'!G20/AVERAGE('3_Balance'!F16,'3_Balance'!G16),"")</f>
        <v/>
      </c>
      <c r="H11" s="14">
        <f>IFERROR('2_Income'!H20/AVERAGE('3_Balance'!G16,'3_Balance'!H16),"")</f>
        <v/>
      </c>
      <c r="I11" s="14">
        <f>IFERROR('2_Income'!I20/AVERAGE('3_Balance'!H16,'3_Balance'!I16),"")</f>
        <v/>
      </c>
      <c r="J11" s="14">
        <f>IFERROR('2_Income'!J20/AVERAGE('3_Balance'!I16,'3_Balance'!J16),"")</f>
        <v/>
      </c>
      <c r="K11" s="14">
        <f>IFERROR('2_Income'!K20/AVERAGE('3_Balance'!J16,'3_Balance'!K16),"")</f>
        <v/>
      </c>
    </row>
    <row r="12">
      <c r="A12" s="44" t="inlineStr">
        <is>
          <t>ROIC（税后 / 生效投入资本）</t>
        </is>
      </c>
      <c r="B12" s="59">
        <f>IFERROR('2_Income'!B14*(1-'5_DCF'!$B$34)/'3_Balance'!B36,"")</f>
        <v/>
      </c>
      <c r="C12" s="59">
        <f>IFERROR('2_Income'!C14*(1-'5_DCF'!$B$34)/'3_Balance'!C36,"")</f>
        <v/>
      </c>
      <c r="D12" s="59">
        <f>IFERROR('2_Income'!D14*(1-'5_DCF'!$B$34)/'3_Balance'!D36,"")</f>
        <v/>
      </c>
      <c r="E12" s="59">
        <f>IFERROR('2_Income'!E14*(1-'5_DCF'!$B$34)/'3_Balance'!E36,"")</f>
        <v/>
      </c>
      <c r="F12" s="59">
        <f>IFERROR('2_Income'!F14*(1-'5_DCF'!$B$34)/'3_Balance'!F36,"")</f>
        <v/>
      </c>
      <c r="G12" s="59">
        <f>IFERROR('2_Income'!G14*(1-'5_DCF'!$B$34)/'3_Balance'!G36,"")</f>
        <v/>
      </c>
      <c r="H12" s="59">
        <f>IFERROR('2_Income'!H14*(1-'5_DCF'!$B$34)/'3_Balance'!H36,"")</f>
        <v/>
      </c>
      <c r="I12" s="59">
        <f>IFERROR('2_Income'!I14*(1-'5_DCF'!$B$34)/'3_Balance'!I36,"")</f>
        <v/>
      </c>
      <c r="J12" s="59">
        <f>IFERROR('2_Income'!J14*(1-'5_DCF'!$B$34)/'3_Balance'!J36,"")</f>
        <v/>
      </c>
      <c r="K12" s="59">
        <f>IFERROR('2_Income'!K14*(1-'5_DCF'!$B$34)/'3_Balance'!K36,"")</f>
        <v/>
      </c>
    </row>
    <row r="13">
      <c r="A13" s="12" t="inlineStr">
        <is>
          <t>WACC（基准线）</t>
        </is>
      </c>
      <c r="B13" s="45">
        <f>'5_DCF'!$B$14</f>
        <v/>
      </c>
      <c r="C13" s="45">
        <f>'5_DCF'!$B$14</f>
        <v/>
      </c>
      <c r="D13" s="45">
        <f>'5_DCF'!$B$14</f>
        <v/>
      </c>
      <c r="E13" s="45">
        <f>'5_DCF'!$B$14</f>
        <v/>
      </c>
      <c r="F13" s="45">
        <f>'5_DCF'!$B$14</f>
        <v/>
      </c>
      <c r="G13" s="14">
        <f>'5_DCF'!$B$14</f>
        <v/>
      </c>
      <c r="H13" s="14">
        <f>'5_DCF'!$B$14</f>
        <v/>
      </c>
      <c r="I13" s="14">
        <f>'5_DCF'!$B$14</f>
        <v/>
      </c>
      <c r="J13" s="14">
        <f>'5_DCF'!$B$14</f>
        <v/>
      </c>
      <c r="K13" s="14">
        <f>'5_DCF'!$B$14</f>
        <v/>
      </c>
    </row>
    <row r="14">
      <c r="A14" s="44" t="inlineStr">
        <is>
          <t>★ 价值利差 ROIC − WACC</t>
        </is>
      </c>
      <c r="B14" s="66">
        <f>IFERROR(B12-B13,"")</f>
        <v/>
      </c>
      <c r="C14" s="66">
        <f>IFERROR(C12-C13,"")</f>
        <v/>
      </c>
      <c r="D14" s="66">
        <f>IFERROR(D12-D13,"")</f>
        <v/>
      </c>
      <c r="E14" s="66">
        <f>IFERROR(E12-E13,"")</f>
        <v/>
      </c>
      <c r="F14" s="66">
        <f>IFERROR(F12-F13,"")</f>
        <v/>
      </c>
      <c r="G14" s="66">
        <f>IFERROR(G12-G13,"")</f>
        <v/>
      </c>
      <c r="H14" s="66">
        <f>IFERROR(H12-H13,"")</f>
        <v/>
      </c>
      <c r="I14" s="66">
        <f>IFERROR(I12-I13,"")</f>
        <v/>
      </c>
      <c r="J14" s="66">
        <f>IFERROR(J12-J13,"")</f>
        <v/>
      </c>
      <c r="K14" s="66">
        <f>IFERROR(K12-K13,"")</f>
        <v/>
      </c>
    </row>
    <row r="16">
      <c r="A16" s="4" t="inlineStr">
        <is>
          <t>二、营运效率 Efficiency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11" t="inlineStr">
        <is>
          <t>指标</t>
        </is>
      </c>
      <c r="B17" s="43" t="inlineStr">
        <is>
          <t>FY2021A</t>
        </is>
      </c>
      <c r="C17" s="43" t="inlineStr">
        <is>
          <t>FY2022A</t>
        </is>
      </c>
      <c r="D17" s="43" t="inlineStr">
        <is>
          <t>FY2023A</t>
        </is>
      </c>
      <c r="E17" s="43" t="inlineStr">
        <is>
          <t>FY2024A</t>
        </is>
      </c>
      <c r="F17" s="43" t="inlineStr">
        <is>
          <t>FY2025A</t>
        </is>
      </c>
      <c r="G17" s="10" t="inlineStr">
        <is>
          <t>FY2026E</t>
        </is>
      </c>
      <c r="H17" s="10" t="inlineStr">
        <is>
          <t>FY2027E</t>
        </is>
      </c>
      <c r="I17" s="10" t="inlineStr">
        <is>
          <t>FY2028E</t>
        </is>
      </c>
      <c r="J17" s="10" t="inlineStr">
        <is>
          <t>FY2029E</t>
        </is>
      </c>
      <c r="K17" s="10" t="inlineStr">
        <is>
          <t>FY2030E</t>
        </is>
      </c>
    </row>
    <row r="18">
      <c r="A18" s="12" t="inlineStr">
        <is>
          <t>DSO 应收周转天数</t>
        </is>
      </c>
      <c r="B18" s="67">
        <f>IFERROR('3_Balance'!B8/'2_Income'!B6*365,"")</f>
        <v/>
      </c>
      <c r="C18" s="67">
        <f>IFERROR('3_Balance'!C8/'2_Income'!C6*365,"")</f>
        <v/>
      </c>
      <c r="D18" s="67">
        <f>IFERROR('3_Balance'!D8/'2_Income'!D6*365,"")</f>
        <v/>
      </c>
      <c r="E18" s="67">
        <f>IFERROR('3_Balance'!E8/'2_Income'!E6*365,"")</f>
        <v/>
      </c>
      <c r="F18" s="67">
        <f>IFERROR('3_Balance'!F8/'2_Income'!F6*365,"")</f>
        <v/>
      </c>
      <c r="G18" s="68">
        <f>IFERROR('3_Balance'!G8/'2_Income'!G6*365,"")</f>
        <v/>
      </c>
      <c r="H18" s="68">
        <f>IFERROR('3_Balance'!H8/'2_Income'!H6*365,"")</f>
        <v/>
      </c>
      <c r="I18" s="68">
        <f>IFERROR('3_Balance'!I8/'2_Income'!I6*365,"")</f>
        <v/>
      </c>
      <c r="J18" s="68">
        <f>IFERROR('3_Balance'!J8/'2_Income'!J6*365,"")</f>
        <v/>
      </c>
      <c r="K18" s="68">
        <f>IFERROR('3_Balance'!K8/'2_Income'!K6*365,"")</f>
        <v/>
      </c>
    </row>
    <row r="19">
      <c r="A19" s="12" t="inlineStr">
        <is>
          <t>DIO 存货周转天数</t>
        </is>
      </c>
      <c r="B19" s="67">
        <f>IFERROR('3_Balance'!B9/'2_Income'!B8*365,"")</f>
        <v/>
      </c>
      <c r="C19" s="67">
        <f>IFERROR('3_Balance'!C9/'2_Income'!C8*365,"")</f>
        <v/>
      </c>
      <c r="D19" s="67">
        <f>IFERROR('3_Balance'!D9/'2_Income'!D8*365,"")</f>
        <v/>
      </c>
      <c r="E19" s="67">
        <f>IFERROR('3_Balance'!E9/'2_Income'!E8*365,"")</f>
        <v/>
      </c>
      <c r="F19" s="67">
        <f>IFERROR('3_Balance'!F9/'2_Income'!F8*365,"")</f>
        <v/>
      </c>
      <c r="G19" s="68">
        <f>IFERROR('3_Balance'!G9/'2_Income'!G8*365,"")</f>
        <v/>
      </c>
      <c r="H19" s="68">
        <f>IFERROR('3_Balance'!H9/'2_Income'!H8*365,"")</f>
        <v/>
      </c>
      <c r="I19" s="68">
        <f>IFERROR('3_Balance'!I9/'2_Income'!I8*365,"")</f>
        <v/>
      </c>
      <c r="J19" s="68">
        <f>IFERROR('3_Balance'!J9/'2_Income'!J8*365,"")</f>
        <v/>
      </c>
      <c r="K19" s="68">
        <f>IFERROR('3_Balance'!K9/'2_Income'!K8*365,"")</f>
        <v/>
      </c>
    </row>
    <row r="20">
      <c r="A20" s="12" t="inlineStr">
        <is>
          <t>DPO 应付周转天数</t>
        </is>
      </c>
      <c r="B20" s="67">
        <f>IFERROR('3_Balance'!B20/'2_Income'!B8*365,"")</f>
        <v/>
      </c>
      <c r="C20" s="67">
        <f>IFERROR('3_Balance'!C20/'2_Income'!C8*365,"")</f>
        <v/>
      </c>
      <c r="D20" s="67">
        <f>IFERROR('3_Balance'!D20/'2_Income'!D8*365,"")</f>
        <v/>
      </c>
      <c r="E20" s="67">
        <f>IFERROR('3_Balance'!E20/'2_Income'!E8*365,"")</f>
        <v/>
      </c>
      <c r="F20" s="67">
        <f>IFERROR('3_Balance'!F20/'2_Income'!F8*365,"")</f>
        <v/>
      </c>
      <c r="G20" s="68">
        <f>IFERROR('3_Balance'!G20/'2_Income'!G8*365,"")</f>
        <v/>
      </c>
      <c r="H20" s="68">
        <f>IFERROR('3_Balance'!H20/'2_Income'!H8*365,"")</f>
        <v/>
      </c>
      <c r="I20" s="68">
        <f>IFERROR('3_Balance'!I20/'2_Income'!I8*365,"")</f>
        <v/>
      </c>
      <c r="J20" s="68">
        <f>IFERROR('3_Balance'!J20/'2_Income'!J8*365,"")</f>
        <v/>
      </c>
      <c r="K20" s="68">
        <f>IFERROR('3_Balance'!K20/'2_Income'!K8*365,"")</f>
        <v/>
      </c>
    </row>
    <row r="21">
      <c r="A21" s="44" t="inlineStr">
        <is>
          <t>★ 现金转换周期 CCC</t>
        </is>
      </c>
      <c r="B21" s="69">
        <f>IFERROR(B18+B19-B20,"")</f>
        <v/>
      </c>
      <c r="C21" s="69">
        <f>IFERROR(C18+C19-C20,"")</f>
        <v/>
      </c>
      <c r="D21" s="69">
        <f>IFERROR(D18+D19-D20,"")</f>
        <v/>
      </c>
      <c r="E21" s="69">
        <f>IFERROR(E18+E19-E20,"")</f>
        <v/>
      </c>
      <c r="F21" s="69">
        <f>IFERROR(F18+F19-F20,"")</f>
        <v/>
      </c>
      <c r="G21" s="69">
        <f>IFERROR(G18+G19-G20,"")</f>
        <v/>
      </c>
      <c r="H21" s="69">
        <f>IFERROR(H18+H19-H20,"")</f>
        <v/>
      </c>
      <c r="I21" s="69">
        <f>IFERROR(I18+I19-I20,"")</f>
        <v/>
      </c>
      <c r="J21" s="69">
        <f>IFERROR(J18+J19-J20,"")</f>
        <v/>
      </c>
      <c r="K21" s="69">
        <f>IFERROR(K18+K19-K20,"")</f>
        <v/>
      </c>
    </row>
    <row r="22">
      <c r="A22" s="12" t="inlineStr">
        <is>
          <t>总资产周转率</t>
        </is>
      </c>
      <c r="B22" s="48">
        <f>IFERROR('2_Income'!B6/'3_Balance'!B16,"")</f>
        <v/>
      </c>
      <c r="C22" s="48">
        <f>IFERROR('2_Income'!C6/AVERAGE('3_Balance'!B16,'3_Balance'!C16),"")</f>
        <v/>
      </c>
      <c r="D22" s="48">
        <f>IFERROR('2_Income'!D6/AVERAGE('3_Balance'!C16,'3_Balance'!D16),"")</f>
        <v/>
      </c>
      <c r="E22" s="48">
        <f>IFERROR('2_Income'!E6/AVERAGE('3_Balance'!D16,'3_Balance'!E16),"")</f>
        <v/>
      </c>
      <c r="F22" s="48">
        <f>IFERROR('2_Income'!F6/AVERAGE('3_Balance'!E16,'3_Balance'!F16),"")</f>
        <v/>
      </c>
      <c r="G22" s="41">
        <f>IFERROR('2_Income'!G6/AVERAGE('3_Balance'!F16,'3_Balance'!G16),"")</f>
        <v/>
      </c>
      <c r="H22" s="41">
        <f>IFERROR('2_Income'!H6/AVERAGE('3_Balance'!G16,'3_Balance'!H16),"")</f>
        <v/>
      </c>
      <c r="I22" s="41">
        <f>IFERROR('2_Income'!I6/AVERAGE('3_Balance'!H16,'3_Balance'!I16),"")</f>
        <v/>
      </c>
      <c r="J22" s="41">
        <f>IFERROR('2_Income'!J6/AVERAGE('3_Balance'!I16,'3_Balance'!J16),"")</f>
        <v/>
      </c>
      <c r="K22" s="41">
        <f>IFERROR('2_Income'!K6/AVERAGE('3_Balance'!J16,'3_Balance'!K16),"")</f>
        <v/>
      </c>
    </row>
    <row r="23">
      <c r="A23" s="12" t="inlineStr">
        <is>
          <t>固定资产周转率</t>
        </is>
      </c>
      <c r="B23" s="48">
        <f>IFERROR('2_Income'!B6/'3_Balance'!B12,"")</f>
        <v/>
      </c>
      <c r="C23" s="48">
        <f>IFERROR('2_Income'!C6/AVERAGE('3_Balance'!B12,'3_Balance'!C12),"")</f>
        <v/>
      </c>
      <c r="D23" s="48">
        <f>IFERROR('2_Income'!D6/AVERAGE('3_Balance'!C12,'3_Balance'!D12),"")</f>
        <v/>
      </c>
      <c r="E23" s="48">
        <f>IFERROR('2_Income'!E6/AVERAGE('3_Balance'!D12,'3_Balance'!E12),"")</f>
        <v/>
      </c>
      <c r="F23" s="48">
        <f>IFERROR('2_Income'!F6/AVERAGE('3_Balance'!E12,'3_Balance'!F12),"")</f>
        <v/>
      </c>
      <c r="G23" s="41">
        <f>IFERROR('2_Income'!G6/AVERAGE('3_Balance'!F12,'3_Balance'!G12),"")</f>
        <v/>
      </c>
      <c r="H23" s="41">
        <f>IFERROR('2_Income'!H6/AVERAGE('3_Balance'!G12,'3_Balance'!H12),"")</f>
        <v/>
      </c>
      <c r="I23" s="41">
        <f>IFERROR('2_Income'!I6/AVERAGE('3_Balance'!H12,'3_Balance'!I12),"")</f>
        <v/>
      </c>
      <c r="J23" s="41">
        <f>IFERROR('2_Income'!J6/AVERAGE('3_Balance'!I12,'3_Balance'!J12),"")</f>
        <v/>
      </c>
      <c r="K23" s="41">
        <f>IFERROR('2_Income'!K6/AVERAGE('3_Balance'!J12,'3_Balance'!K12),"")</f>
        <v/>
      </c>
    </row>
    <row r="25">
      <c r="A25" s="4" t="inlineStr">
        <is>
          <t>三、偿债与资本结构 Leverage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11" t="inlineStr">
        <is>
          <t>指标</t>
        </is>
      </c>
      <c r="B26" s="43" t="inlineStr">
        <is>
          <t>FY2021A</t>
        </is>
      </c>
      <c r="C26" s="43" t="inlineStr">
        <is>
          <t>FY2022A</t>
        </is>
      </c>
      <c r="D26" s="43" t="inlineStr">
        <is>
          <t>FY2023A</t>
        </is>
      </c>
      <c r="E26" s="43" t="inlineStr">
        <is>
          <t>FY2024A</t>
        </is>
      </c>
      <c r="F26" s="43" t="inlineStr">
        <is>
          <t>FY2025A</t>
        </is>
      </c>
      <c r="G26" s="10" t="inlineStr">
        <is>
          <t>FY2026E</t>
        </is>
      </c>
      <c r="H26" s="10" t="inlineStr">
        <is>
          <t>FY2027E</t>
        </is>
      </c>
      <c r="I26" s="10" t="inlineStr">
        <is>
          <t>FY2028E</t>
        </is>
      </c>
      <c r="J26" s="10" t="inlineStr">
        <is>
          <t>FY2029E</t>
        </is>
      </c>
      <c r="K26" s="10" t="inlineStr">
        <is>
          <t>FY2030E</t>
        </is>
      </c>
    </row>
    <row r="27">
      <c r="A27" s="12" t="inlineStr">
        <is>
          <t>资产负债率</t>
        </is>
      </c>
      <c r="B27" s="45">
        <f>IFERROR('3_Balance'!B24/'3_Balance'!B16,"")</f>
        <v/>
      </c>
      <c r="C27" s="45">
        <f>IFERROR('3_Balance'!C24/'3_Balance'!C16,"")</f>
        <v/>
      </c>
      <c r="D27" s="45">
        <f>IFERROR('3_Balance'!D24/'3_Balance'!D16,"")</f>
        <v/>
      </c>
      <c r="E27" s="45">
        <f>IFERROR('3_Balance'!E24/'3_Balance'!E16,"")</f>
        <v/>
      </c>
      <c r="F27" s="45">
        <f>IFERROR('3_Balance'!F24/'3_Balance'!F16,"")</f>
        <v/>
      </c>
      <c r="G27" s="14">
        <f>IFERROR('3_Balance'!G24/'3_Balance'!G16,"")</f>
        <v/>
      </c>
      <c r="H27" s="14">
        <f>IFERROR('3_Balance'!H24/'3_Balance'!H16,"")</f>
        <v/>
      </c>
      <c r="I27" s="14">
        <f>IFERROR('3_Balance'!I24/'3_Balance'!I16,"")</f>
        <v/>
      </c>
      <c r="J27" s="14">
        <f>IFERROR('3_Balance'!J24/'3_Balance'!J16,"")</f>
        <v/>
      </c>
      <c r="K27" s="14">
        <f>IFERROR('3_Balance'!K24/'3_Balance'!K16,"")</f>
        <v/>
      </c>
    </row>
    <row r="28">
      <c r="A28" s="12" t="inlineStr">
        <is>
          <t>净负债 / 归母权益</t>
        </is>
      </c>
      <c r="B28" s="45">
        <f>IFERROR('3_Balance'!B30/'3_Balance'!B25,"")</f>
        <v/>
      </c>
      <c r="C28" s="45">
        <f>IFERROR('3_Balance'!C30/'3_Balance'!C25,"")</f>
        <v/>
      </c>
      <c r="D28" s="45">
        <f>IFERROR('3_Balance'!D30/'3_Balance'!D25,"")</f>
        <v/>
      </c>
      <c r="E28" s="45">
        <f>IFERROR('3_Balance'!E30/'3_Balance'!E25,"")</f>
        <v/>
      </c>
      <c r="F28" s="45">
        <f>IFERROR('3_Balance'!F30/'3_Balance'!F25,"")</f>
        <v/>
      </c>
      <c r="G28" s="14">
        <f>IFERROR('3_Balance'!G30/'3_Balance'!G25,"")</f>
        <v/>
      </c>
      <c r="H28" s="14">
        <f>IFERROR('3_Balance'!H30/'3_Balance'!H25,"")</f>
        <v/>
      </c>
      <c r="I28" s="14">
        <f>IFERROR('3_Balance'!I30/'3_Balance'!I25,"")</f>
        <v/>
      </c>
      <c r="J28" s="14">
        <f>IFERROR('3_Balance'!J30/'3_Balance'!J25,"")</f>
        <v/>
      </c>
      <c r="K28" s="14">
        <f>IFERROR('3_Balance'!K30/'3_Balance'!K25,"")</f>
        <v/>
      </c>
    </row>
    <row r="29">
      <c r="A29" s="12" t="inlineStr">
        <is>
          <t>有息负债 / EBITDA</t>
        </is>
      </c>
      <c r="B29" s="48">
        <f>IFERROR(('3_Balance'!B18+'3_Balance'!B19+'3_Balance'!B21)/('2_Income'!B14+'4_CashFlow'!B7+'4_CashFlow'!B8),"")</f>
        <v/>
      </c>
      <c r="C29" s="48">
        <f>IFERROR(('3_Balance'!C18+'3_Balance'!C19+'3_Balance'!C21)/('2_Income'!C14+'4_CashFlow'!C7+'4_CashFlow'!C8),"")</f>
        <v/>
      </c>
      <c r="D29" s="48">
        <f>IFERROR(('3_Balance'!D18+'3_Balance'!D19+'3_Balance'!D21)/('2_Income'!D14+'4_CashFlow'!D7+'4_CashFlow'!D8),"")</f>
        <v/>
      </c>
      <c r="E29" s="48">
        <f>IFERROR(('3_Balance'!E18+'3_Balance'!E19+'3_Balance'!E21)/('2_Income'!E14+'4_CashFlow'!E7+'4_CashFlow'!E8),"")</f>
        <v/>
      </c>
      <c r="F29" s="48">
        <f>IFERROR(('3_Balance'!F18+'3_Balance'!F19+'3_Balance'!F21)/('2_Income'!F14+'4_CashFlow'!F7+'4_CashFlow'!F8),"")</f>
        <v/>
      </c>
      <c r="G29" s="41">
        <f>IFERROR(('3_Balance'!G18+'3_Balance'!G19+'3_Balance'!G21)/('2_Income'!G14+'4_CashFlow'!G7+'4_CashFlow'!G8),"")</f>
        <v/>
      </c>
      <c r="H29" s="41">
        <f>IFERROR(('3_Balance'!H18+'3_Balance'!H19+'3_Balance'!H21)/('2_Income'!H14+'4_CashFlow'!H7+'4_CashFlow'!H8),"")</f>
        <v/>
      </c>
      <c r="I29" s="41">
        <f>IFERROR(('3_Balance'!I18+'3_Balance'!I19+'3_Balance'!I21)/('2_Income'!I14+'4_CashFlow'!I7+'4_CashFlow'!I8),"")</f>
        <v/>
      </c>
      <c r="J29" s="41">
        <f>IFERROR(('3_Balance'!J18+'3_Balance'!J19+'3_Balance'!J21)/('2_Income'!J14+'4_CashFlow'!J7+'4_CashFlow'!J8),"")</f>
        <v/>
      </c>
      <c r="K29" s="41">
        <f>IFERROR(('3_Balance'!K18+'3_Balance'!K19+'3_Balance'!K21)/('2_Income'!K14+'4_CashFlow'!K7+'4_CashFlow'!K8),"")</f>
        <v/>
      </c>
    </row>
    <row r="30">
      <c r="A30" s="12" t="inlineStr">
        <is>
          <t>EBIT 利息保障倍数</t>
        </is>
      </c>
      <c r="B30" s="48">
        <f>IFERROR('2_Income'!B14/'2_Income'!B15,"")</f>
        <v/>
      </c>
      <c r="C30" s="48">
        <f>IFERROR('2_Income'!C14/'2_Income'!C15,"")</f>
        <v/>
      </c>
      <c r="D30" s="48">
        <f>IFERROR('2_Income'!D14/'2_Income'!D15,"")</f>
        <v/>
      </c>
      <c r="E30" s="48">
        <f>IFERROR('2_Income'!E14/'2_Income'!E15,"")</f>
        <v/>
      </c>
      <c r="F30" s="48">
        <f>IFERROR('2_Income'!F14/'2_Income'!F15,"")</f>
        <v/>
      </c>
      <c r="G30" s="41">
        <f>IFERROR('2_Income'!G14/'2_Income'!G15,"")</f>
        <v/>
      </c>
      <c r="H30" s="41">
        <f>IFERROR('2_Income'!H14/'2_Income'!H15,"")</f>
        <v/>
      </c>
      <c r="I30" s="41">
        <f>IFERROR('2_Income'!I14/'2_Income'!I15,"")</f>
        <v/>
      </c>
      <c r="J30" s="41">
        <f>IFERROR('2_Income'!J14/'2_Income'!J15,"")</f>
        <v/>
      </c>
      <c r="K30" s="41">
        <f>IFERROR('2_Income'!K14/'2_Income'!K15,"")</f>
        <v/>
      </c>
    </row>
    <row r="31">
      <c r="A31" s="12" t="inlineStr">
        <is>
          <t>权益乘数（平均总资产 / 平均权益）</t>
        </is>
      </c>
      <c r="B31" s="48">
        <f>IFERROR('3_Balance'!B16/'3_Balance'!B25,"")</f>
        <v/>
      </c>
      <c r="C31" s="48">
        <f>IFERROR(AVERAGE('3_Balance'!B16,'3_Balance'!C16)/AVERAGE('3_Balance'!B25,'3_Balance'!C25),"")</f>
        <v/>
      </c>
      <c r="D31" s="48">
        <f>IFERROR(AVERAGE('3_Balance'!C16,'3_Balance'!D16)/AVERAGE('3_Balance'!C25,'3_Balance'!D25),"")</f>
        <v/>
      </c>
      <c r="E31" s="48">
        <f>IFERROR(AVERAGE('3_Balance'!D16,'3_Balance'!E16)/AVERAGE('3_Balance'!D25,'3_Balance'!E25),"")</f>
        <v/>
      </c>
      <c r="F31" s="48">
        <f>IFERROR(AVERAGE('3_Balance'!E16,'3_Balance'!F16)/AVERAGE('3_Balance'!E25,'3_Balance'!F25),"")</f>
        <v/>
      </c>
      <c r="G31" s="41">
        <f>IFERROR(AVERAGE('3_Balance'!F16,'3_Balance'!G16)/AVERAGE('3_Balance'!F25,'3_Balance'!G25),"")</f>
        <v/>
      </c>
      <c r="H31" s="41">
        <f>IFERROR(AVERAGE('3_Balance'!G16,'3_Balance'!H16)/AVERAGE('3_Balance'!G25,'3_Balance'!H25),"")</f>
        <v/>
      </c>
      <c r="I31" s="41">
        <f>IFERROR(AVERAGE('3_Balance'!H16,'3_Balance'!I16)/AVERAGE('3_Balance'!H25,'3_Balance'!I25),"")</f>
        <v/>
      </c>
      <c r="J31" s="41">
        <f>IFERROR(AVERAGE('3_Balance'!I16,'3_Balance'!J16)/AVERAGE('3_Balance'!I25,'3_Balance'!J25),"")</f>
        <v/>
      </c>
      <c r="K31" s="41">
        <f>IFERROR(AVERAGE('3_Balance'!J16,'3_Balance'!K16)/AVERAGE('3_Balance'!J25,'3_Balance'!K25),"")</f>
        <v/>
      </c>
    </row>
    <row r="33">
      <c r="A33" s="4" t="inlineStr">
        <is>
          <t>四、现金流质量 Cash quality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11" t="inlineStr">
        <is>
          <t>指标</t>
        </is>
      </c>
      <c r="B34" s="43" t="inlineStr">
        <is>
          <t>FY2021A</t>
        </is>
      </c>
      <c r="C34" s="43" t="inlineStr">
        <is>
          <t>FY2022A</t>
        </is>
      </c>
      <c r="D34" s="43" t="inlineStr">
        <is>
          <t>FY2023A</t>
        </is>
      </c>
      <c r="E34" s="43" t="inlineStr">
        <is>
          <t>FY2024A</t>
        </is>
      </c>
      <c r="F34" s="43" t="inlineStr">
        <is>
          <t>FY2025A</t>
        </is>
      </c>
      <c r="G34" s="10" t="inlineStr">
        <is>
          <t>FY2026E</t>
        </is>
      </c>
      <c r="H34" s="10" t="inlineStr">
        <is>
          <t>FY2027E</t>
        </is>
      </c>
      <c r="I34" s="10" t="inlineStr">
        <is>
          <t>FY2028E</t>
        </is>
      </c>
      <c r="J34" s="10" t="inlineStr">
        <is>
          <t>FY2029E</t>
        </is>
      </c>
      <c r="K34" s="10" t="inlineStr">
        <is>
          <t>FY2030E</t>
        </is>
      </c>
    </row>
    <row r="35">
      <c r="A35" s="12" t="inlineStr">
        <is>
          <t>经营现金流 / 净利润</t>
        </is>
      </c>
      <c r="B35" s="48">
        <f>IFERROR('4_CashFlow'!B15/'2_Income'!B20,"")</f>
        <v/>
      </c>
      <c r="C35" s="48">
        <f>IFERROR('4_CashFlow'!C15/'2_Income'!C20,"")</f>
        <v/>
      </c>
      <c r="D35" s="48">
        <f>IFERROR('4_CashFlow'!D15/'2_Income'!D20,"")</f>
        <v/>
      </c>
      <c r="E35" s="48">
        <f>IFERROR('4_CashFlow'!E15/'2_Income'!E20,"")</f>
        <v/>
      </c>
      <c r="F35" s="48">
        <f>IFERROR('4_CashFlow'!F15/'2_Income'!F20,"")</f>
        <v/>
      </c>
      <c r="G35" s="41">
        <f>IFERROR('4_CashFlow'!G15/'2_Income'!G20,"")</f>
        <v/>
      </c>
      <c r="H35" s="41">
        <f>IFERROR('4_CashFlow'!H15/'2_Income'!H20,"")</f>
        <v/>
      </c>
      <c r="I35" s="41">
        <f>IFERROR('4_CashFlow'!I15/'2_Income'!I20,"")</f>
        <v/>
      </c>
      <c r="J35" s="41">
        <f>IFERROR('4_CashFlow'!J15/'2_Income'!J20,"")</f>
        <v/>
      </c>
      <c r="K35" s="41">
        <f>IFERROR('4_CashFlow'!K15/'2_Income'!K20,"")</f>
        <v/>
      </c>
    </row>
    <row r="36">
      <c r="A36" s="12" t="inlineStr">
        <is>
          <t>自由现金流 / 营收</t>
        </is>
      </c>
      <c r="B36" s="45">
        <f>IFERROR('4_CashFlow'!B18/'2_Income'!B6,"")</f>
        <v/>
      </c>
      <c r="C36" s="45">
        <f>IFERROR('4_CashFlow'!C18/'2_Income'!C6,"")</f>
        <v/>
      </c>
      <c r="D36" s="45">
        <f>IFERROR('4_CashFlow'!D18/'2_Income'!D6,"")</f>
        <v/>
      </c>
      <c r="E36" s="45">
        <f>IFERROR('4_CashFlow'!E18/'2_Income'!E6,"")</f>
        <v/>
      </c>
      <c r="F36" s="45">
        <f>IFERROR('4_CashFlow'!F18/'2_Income'!F6,"")</f>
        <v/>
      </c>
      <c r="G36" s="14">
        <f>IFERROR('4_CashFlow'!G18/'2_Income'!G6,"")</f>
        <v/>
      </c>
      <c r="H36" s="14">
        <f>IFERROR('4_CashFlow'!H18/'2_Income'!H6,"")</f>
        <v/>
      </c>
      <c r="I36" s="14">
        <f>IFERROR('4_CashFlow'!I18/'2_Income'!I6,"")</f>
        <v/>
      </c>
      <c r="J36" s="14">
        <f>IFERROR('4_CashFlow'!J18/'2_Income'!J6,"")</f>
        <v/>
      </c>
      <c r="K36" s="14">
        <f>IFERROR('4_CashFlow'!K18/'2_Income'!K6,"")</f>
        <v/>
      </c>
    </row>
    <row r="37">
      <c r="A37" s="12" t="inlineStr">
        <is>
          <t>资本开支 / 折旧摊销</t>
        </is>
      </c>
      <c r="B37" s="48">
        <f>IFERROR(-'4_CashFlow'!B16/('4_CashFlow'!B7+'4_CashFlow'!B8),"")</f>
        <v/>
      </c>
      <c r="C37" s="48">
        <f>IFERROR(-'4_CashFlow'!C16/('4_CashFlow'!C7+'4_CashFlow'!C8),"")</f>
        <v/>
      </c>
      <c r="D37" s="48">
        <f>IFERROR(-'4_CashFlow'!D16/('4_CashFlow'!D7+'4_CashFlow'!D8),"")</f>
        <v/>
      </c>
      <c r="E37" s="48">
        <f>IFERROR(-'4_CashFlow'!E16/('4_CashFlow'!E7+'4_CashFlow'!E8),"")</f>
        <v/>
      </c>
      <c r="F37" s="48">
        <f>IFERROR(-'4_CashFlow'!F16/('4_CashFlow'!F7+'4_CashFlow'!F8),"")</f>
        <v/>
      </c>
      <c r="G37" s="41">
        <f>IFERROR(-'4_CashFlow'!G16/('4_CashFlow'!G7+'4_CashFlow'!G8),"")</f>
        <v/>
      </c>
      <c r="H37" s="41">
        <f>IFERROR(-'4_CashFlow'!H16/('4_CashFlow'!H7+'4_CashFlow'!H8),"")</f>
        <v/>
      </c>
      <c r="I37" s="41">
        <f>IFERROR(-'4_CashFlow'!I16/('4_CashFlow'!I7+'4_CashFlow'!I8),"")</f>
        <v/>
      </c>
      <c r="J37" s="41">
        <f>IFERROR(-'4_CashFlow'!J16/('4_CashFlow'!J7+'4_CashFlow'!J8),"")</f>
        <v/>
      </c>
      <c r="K37" s="41">
        <f>IFERROR(-'4_CashFlow'!K16/('4_CashFlow'!K7+'4_CashFlow'!K8),"")</f>
        <v/>
      </c>
    </row>
    <row r="38">
      <c r="A38" s="12" t="inlineStr">
        <is>
          <t>FCFF / 税后 EBIT</t>
        </is>
      </c>
      <c r="B38" s="48">
        <f>IFERROR('4_CashFlow'!B19/('2_Income'!B14*(1-'5_DCF'!$B$34)),"")</f>
        <v/>
      </c>
      <c r="C38" s="48">
        <f>IFERROR('4_CashFlow'!C19/('2_Income'!C14*(1-'5_DCF'!$B$34)),"")</f>
        <v/>
      </c>
      <c r="D38" s="48">
        <f>IFERROR('4_CashFlow'!D19/('2_Income'!D14*(1-'5_DCF'!$B$34)),"")</f>
        <v/>
      </c>
      <c r="E38" s="48">
        <f>IFERROR('4_CashFlow'!E19/('2_Income'!E14*(1-'5_DCF'!$B$34)),"")</f>
        <v/>
      </c>
      <c r="F38" s="48">
        <f>IFERROR('4_CashFlow'!F19/('2_Income'!F14*(1-'5_DCF'!$B$34)),"")</f>
        <v/>
      </c>
      <c r="G38" s="41">
        <f>IFERROR('4_CashFlow'!G19/('2_Income'!G14*(1-'5_DCF'!$B$34)),"")</f>
        <v/>
      </c>
      <c r="H38" s="41">
        <f>IFERROR('4_CashFlow'!H19/('2_Income'!H14*(1-'5_DCF'!$B$34)),"")</f>
        <v/>
      </c>
      <c r="I38" s="41">
        <f>IFERROR('4_CashFlow'!I19/('2_Income'!I14*(1-'5_DCF'!$B$34)),"")</f>
        <v/>
      </c>
      <c r="J38" s="41">
        <f>IFERROR('4_CashFlow'!J19/('2_Income'!J14*(1-'5_DCF'!$B$34)),"")</f>
        <v/>
      </c>
      <c r="K38" s="41">
        <f>IFERROR('4_CashFlow'!K19/('2_Income'!K14*(1-'5_DCF'!$B$34)),"")</f>
        <v/>
      </c>
    </row>
    <row r="39">
      <c r="A39" s="12" t="inlineStr">
        <is>
          <t>回购 / 营收</t>
        </is>
      </c>
      <c r="B39" s="45">
        <f>IFERROR(-'4_CashFlow'!B21/'2_Income'!B6,"")</f>
        <v/>
      </c>
      <c r="C39" s="45">
        <f>IFERROR(-'4_CashFlow'!C21/'2_Income'!C6,"")</f>
        <v/>
      </c>
      <c r="D39" s="45">
        <f>IFERROR(-'4_CashFlow'!D21/'2_Income'!D6,"")</f>
        <v/>
      </c>
      <c r="E39" s="45">
        <f>IFERROR(-'4_CashFlow'!E21/'2_Income'!E6,"")</f>
        <v/>
      </c>
      <c r="F39" s="45">
        <f>IFERROR(-'4_CashFlow'!F21/'2_Income'!F6,"")</f>
        <v/>
      </c>
      <c r="G39" s="14">
        <f>IFERROR(-'4_CashFlow'!G21/'2_Income'!G6,"")</f>
        <v/>
      </c>
      <c r="H39" s="14">
        <f>IFERROR(-'4_CashFlow'!H21/'2_Income'!H6,"")</f>
        <v/>
      </c>
      <c r="I39" s="14">
        <f>IFERROR(-'4_CashFlow'!I21/'2_Income'!I6,"")</f>
        <v/>
      </c>
      <c r="J39" s="14">
        <f>IFERROR(-'4_CashFlow'!J21/'2_Income'!J6,"")</f>
        <v/>
      </c>
      <c r="K39" s="14">
        <f>IFERROR(-'4_CashFlow'!K21/'2_Income'!K6,"")</f>
        <v/>
      </c>
    </row>
    <row r="41">
      <c r="A41" s="4" t="inlineStr">
        <is>
          <t>五、成长性 Growth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11" t="inlineStr">
        <is>
          <t>指标</t>
        </is>
      </c>
      <c r="B42" s="43" t="inlineStr">
        <is>
          <t>FY2021A</t>
        </is>
      </c>
      <c r="C42" s="43" t="inlineStr">
        <is>
          <t>FY2022A</t>
        </is>
      </c>
      <c r="D42" s="43" t="inlineStr">
        <is>
          <t>FY2023A</t>
        </is>
      </c>
      <c r="E42" s="43" t="inlineStr">
        <is>
          <t>FY2024A</t>
        </is>
      </c>
      <c r="F42" s="43" t="inlineStr">
        <is>
          <t>FY2025A</t>
        </is>
      </c>
      <c r="G42" s="10" t="inlineStr">
        <is>
          <t>FY2026E</t>
        </is>
      </c>
      <c r="H42" s="10" t="inlineStr">
        <is>
          <t>FY2027E</t>
        </is>
      </c>
      <c r="I42" s="10" t="inlineStr">
        <is>
          <t>FY2028E</t>
        </is>
      </c>
      <c r="J42" s="10" t="inlineStr">
        <is>
          <t>FY2029E</t>
        </is>
      </c>
      <c r="K42" s="10" t="inlineStr">
        <is>
          <t>FY2030E</t>
        </is>
      </c>
    </row>
    <row r="43">
      <c r="A43" s="12" t="inlineStr">
        <is>
          <t>营收增速</t>
        </is>
      </c>
      <c r="B43" s="45" t="n"/>
      <c r="C43" s="45">
        <f>IFERROR('2_Income'!C6/'2_Income'!B6-1,"")</f>
        <v/>
      </c>
      <c r="D43" s="45">
        <f>IFERROR('2_Income'!D6/'2_Income'!C6-1,"")</f>
        <v/>
      </c>
      <c r="E43" s="45">
        <f>IFERROR('2_Income'!E6/'2_Income'!D6-1,"")</f>
        <v/>
      </c>
      <c r="F43" s="45">
        <f>IFERROR('2_Income'!F6/'2_Income'!E6-1,"")</f>
        <v/>
      </c>
      <c r="G43" s="14">
        <f>IFERROR('2_Income'!G6/'2_Income'!F6-1,"")</f>
        <v/>
      </c>
      <c r="H43" s="14">
        <f>IFERROR('2_Income'!H6/'2_Income'!G6-1,"")</f>
        <v/>
      </c>
      <c r="I43" s="14">
        <f>IFERROR('2_Income'!I6/'2_Income'!H6-1,"")</f>
        <v/>
      </c>
      <c r="J43" s="14">
        <f>IFERROR('2_Income'!J6/'2_Income'!I6-1,"")</f>
        <v/>
      </c>
      <c r="K43" s="14">
        <f>IFERROR('2_Income'!K6/'2_Income'!J6-1,"")</f>
        <v/>
      </c>
    </row>
    <row r="44">
      <c r="A44" s="12" t="inlineStr">
        <is>
          <t>归母净利增速</t>
        </is>
      </c>
      <c r="B44" s="45" t="n"/>
      <c r="C44" s="45">
        <f>IFERROR('2_Income'!C22/'2_Income'!B22-1,"")</f>
        <v/>
      </c>
      <c r="D44" s="45">
        <f>IFERROR('2_Income'!D22/'2_Income'!C22-1,"")</f>
        <v/>
      </c>
      <c r="E44" s="45">
        <f>IFERROR('2_Income'!E22/'2_Income'!D22-1,"")</f>
        <v/>
      </c>
      <c r="F44" s="45">
        <f>IFERROR('2_Income'!F22/'2_Income'!E22-1,"")</f>
        <v/>
      </c>
      <c r="G44" s="14">
        <f>IFERROR('2_Income'!G22/'2_Income'!F22-1,"")</f>
        <v/>
      </c>
      <c r="H44" s="14">
        <f>IFERROR('2_Income'!H22/'2_Income'!G22-1,"")</f>
        <v/>
      </c>
      <c r="I44" s="14">
        <f>IFERROR('2_Income'!I22/'2_Income'!H22-1,"")</f>
        <v/>
      </c>
      <c r="J44" s="14">
        <f>IFERROR('2_Income'!J22/'2_Income'!I22-1,"")</f>
        <v/>
      </c>
      <c r="K44" s="14">
        <f>IFERROR('2_Income'!K22/'2_Income'!J22-1,"")</f>
        <v/>
      </c>
    </row>
    <row r="45">
      <c r="A45" s="12" t="inlineStr">
        <is>
          <t>EBIT 增速</t>
        </is>
      </c>
      <c r="B45" s="45" t="n"/>
      <c r="C45" s="45">
        <f>IFERROR('2_Income'!C14/'2_Income'!B14-1,"")</f>
        <v/>
      </c>
      <c r="D45" s="45">
        <f>IFERROR('2_Income'!D14/'2_Income'!C14-1,"")</f>
        <v/>
      </c>
      <c r="E45" s="45">
        <f>IFERROR('2_Income'!E14/'2_Income'!D14-1,"")</f>
        <v/>
      </c>
      <c r="F45" s="45">
        <f>IFERROR('2_Income'!F14/'2_Income'!E14-1,"")</f>
        <v/>
      </c>
      <c r="G45" s="14">
        <f>IFERROR('2_Income'!G14/'2_Income'!F14-1,"")</f>
        <v/>
      </c>
      <c r="H45" s="14">
        <f>IFERROR('2_Income'!H14/'2_Income'!G14-1,"")</f>
        <v/>
      </c>
      <c r="I45" s="14">
        <f>IFERROR('2_Income'!I14/'2_Income'!H14-1,"")</f>
        <v/>
      </c>
      <c r="J45" s="14">
        <f>IFERROR('2_Income'!J14/'2_Income'!I14-1,"")</f>
        <v/>
      </c>
      <c r="K45" s="14">
        <f>IFERROR('2_Income'!K14/'2_Income'!J14-1,"")</f>
        <v/>
      </c>
    </row>
    <row r="47">
      <c r="A47" s="4" t="inlineStr">
        <is>
          <t>六、杜邦三因子 DuPont (3-step)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11" t="inlineStr">
        <is>
          <t>指标</t>
        </is>
      </c>
      <c r="B48" s="43" t="inlineStr">
        <is>
          <t>FY2021A</t>
        </is>
      </c>
      <c r="C48" s="43" t="inlineStr">
        <is>
          <t>FY2022A</t>
        </is>
      </c>
      <c r="D48" s="43" t="inlineStr">
        <is>
          <t>FY2023A</t>
        </is>
      </c>
      <c r="E48" s="43" t="inlineStr">
        <is>
          <t>FY2024A</t>
        </is>
      </c>
      <c r="F48" s="43" t="inlineStr">
        <is>
          <t>FY2025A</t>
        </is>
      </c>
      <c r="G48" s="10" t="inlineStr">
        <is>
          <t>FY2026E</t>
        </is>
      </c>
      <c r="H48" s="10" t="inlineStr">
        <is>
          <t>FY2027E</t>
        </is>
      </c>
      <c r="I48" s="10" t="inlineStr">
        <is>
          <t>FY2028E</t>
        </is>
      </c>
      <c r="J48" s="10" t="inlineStr">
        <is>
          <t>FY2029E</t>
        </is>
      </c>
      <c r="K48" s="10" t="inlineStr">
        <is>
          <t>FY2030E</t>
        </is>
      </c>
    </row>
    <row r="49">
      <c r="A49" s="12" t="inlineStr">
        <is>
          <t>① 归母净利率</t>
        </is>
      </c>
      <c r="B49" s="45">
        <f>IFERROR('2_Income'!B22/'2_Income'!B6,"")</f>
        <v/>
      </c>
      <c r="C49" s="45">
        <f>IFERROR('2_Income'!C22/'2_Income'!C6,"")</f>
        <v/>
      </c>
      <c r="D49" s="45">
        <f>IFERROR('2_Income'!D22/'2_Income'!D6,"")</f>
        <v/>
      </c>
      <c r="E49" s="45">
        <f>IFERROR('2_Income'!E22/'2_Income'!E6,"")</f>
        <v/>
      </c>
      <c r="F49" s="45">
        <f>IFERROR('2_Income'!F22/'2_Income'!F6,"")</f>
        <v/>
      </c>
      <c r="G49" s="14">
        <f>IFERROR('2_Income'!G22/'2_Income'!G6,"")</f>
        <v/>
      </c>
      <c r="H49" s="14">
        <f>IFERROR('2_Income'!H22/'2_Income'!H6,"")</f>
        <v/>
      </c>
      <c r="I49" s="14">
        <f>IFERROR('2_Income'!I22/'2_Income'!I6,"")</f>
        <v/>
      </c>
      <c r="J49" s="14">
        <f>IFERROR('2_Income'!J22/'2_Income'!J6,"")</f>
        <v/>
      </c>
      <c r="K49" s="14">
        <f>IFERROR('2_Income'!K22/'2_Income'!K6,"")</f>
        <v/>
      </c>
    </row>
    <row r="50">
      <c r="A50" s="12" t="inlineStr">
        <is>
          <t>② 总资产周转率</t>
        </is>
      </c>
      <c r="B50" s="48">
        <f>IFERROR('2_Income'!B6/'3_Balance'!B16,"")</f>
        <v/>
      </c>
      <c r="C50" s="48">
        <f>IFERROR('2_Income'!C6/AVERAGE('3_Balance'!B16,'3_Balance'!C16),"")</f>
        <v/>
      </c>
      <c r="D50" s="48">
        <f>IFERROR('2_Income'!D6/AVERAGE('3_Balance'!C16,'3_Balance'!D16),"")</f>
        <v/>
      </c>
      <c r="E50" s="48">
        <f>IFERROR('2_Income'!E6/AVERAGE('3_Balance'!D16,'3_Balance'!E16),"")</f>
        <v/>
      </c>
      <c r="F50" s="48">
        <f>IFERROR('2_Income'!F6/AVERAGE('3_Balance'!E16,'3_Balance'!F16),"")</f>
        <v/>
      </c>
      <c r="G50" s="41">
        <f>IFERROR('2_Income'!G6/AVERAGE('3_Balance'!F16,'3_Balance'!G16),"")</f>
        <v/>
      </c>
      <c r="H50" s="41">
        <f>IFERROR('2_Income'!H6/AVERAGE('3_Balance'!G16,'3_Balance'!H16),"")</f>
        <v/>
      </c>
      <c r="I50" s="41">
        <f>IFERROR('2_Income'!I6/AVERAGE('3_Balance'!H16,'3_Balance'!I16),"")</f>
        <v/>
      </c>
      <c r="J50" s="41">
        <f>IFERROR('2_Income'!J6/AVERAGE('3_Balance'!I16,'3_Balance'!J16),"")</f>
        <v/>
      </c>
      <c r="K50" s="41">
        <f>IFERROR('2_Income'!K6/AVERAGE('3_Balance'!J16,'3_Balance'!K16),"")</f>
        <v/>
      </c>
    </row>
    <row r="51">
      <c r="A51" s="12" t="inlineStr">
        <is>
          <t>③ 权益乘数</t>
        </is>
      </c>
      <c r="B51" s="48">
        <f>IFERROR('3_Balance'!B16/'3_Balance'!B25,"")</f>
        <v/>
      </c>
      <c r="C51" s="48">
        <f>IFERROR(AVERAGE('3_Balance'!B16,'3_Balance'!C16)/AVERAGE('3_Balance'!B25,'3_Balance'!C25),"")</f>
        <v/>
      </c>
      <c r="D51" s="48">
        <f>IFERROR(AVERAGE('3_Balance'!C16,'3_Balance'!D16)/AVERAGE('3_Balance'!C25,'3_Balance'!D25),"")</f>
        <v/>
      </c>
      <c r="E51" s="48">
        <f>IFERROR(AVERAGE('3_Balance'!D16,'3_Balance'!E16)/AVERAGE('3_Balance'!D25,'3_Balance'!E25),"")</f>
        <v/>
      </c>
      <c r="F51" s="48">
        <f>IFERROR(AVERAGE('3_Balance'!E16,'3_Balance'!F16)/AVERAGE('3_Balance'!E25,'3_Balance'!F25),"")</f>
        <v/>
      </c>
      <c r="G51" s="41">
        <f>IFERROR(AVERAGE('3_Balance'!F16,'3_Balance'!G16)/AVERAGE('3_Balance'!F25,'3_Balance'!G25),"")</f>
        <v/>
      </c>
      <c r="H51" s="41">
        <f>IFERROR(AVERAGE('3_Balance'!G16,'3_Balance'!H16)/AVERAGE('3_Balance'!G25,'3_Balance'!H25),"")</f>
        <v/>
      </c>
      <c r="I51" s="41">
        <f>IFERROR(AVERAGE('3_Balance'!H16,'3_Balance'!I16)/AVERAGE('3_Balance'!H25,'3_Balance'!I25),"")</f>
        <v/>
      </c>
      <c r="J51" s="41">
        <f>IFERROR(AVERAGE('3_Balance'!I16,'3_Balance'!J16)/AVERAGE('3_Balance'!I25,'3_Balance'!J25),"")</f>
        <v/>
      </c>
      <c r="K51" s="41">
        <f>IFERROR(AVERAGE('3_Balance'!J16,'3_Balance'!K16)/AVERAGE('3_Balance'!J25,'3_Balance'!K25),"")</f>
        <v/>
      </c>
    </row>
    <row r="52">
      <c r="A52" s="44" t="inlineStr">
        <is>
          <t>①×②×③ = ROE</t>
        </is>
      </c>
      <c r="B52" s="59">
        <f>IFERROR(B49*B50*B51,"")</f>
        <v/>
      </c>
      <c r="C52" s="59">
        <f>IFERROR(C49*C50*C51,"")</f>
        <v/>
      </c>
      <c r="D52" s="59">
        <f>IFERROR(D49*D50*D51,"")</f>
        <v/>
      </c>
      <c r="E52" s="59">
        <f>IFERROR(E49*E50*E51,"")</f>
        <v/>
      </c>
      <c r="F52" s="59">
        <f>IFERROR(F49*F50*F51,"")</f>
        <v/>
      </c>
      <c r="G52" s="59">
        <f>IFERROR(G49*G50*G51,"")</f>
        <v/>
      </c>
      <c r="H52" s="59">
        <f>IFERROR(H49*H50*H51,"")</f>
        <v/>
      </c>
      <c r="I52" s="59">
        <f>IFERROR(I49*I50*I51,"")</f>
        <v/>
      </c>
      <c r="J52" s="59">
        <f>IFERROR(J49*J50*J51,"")</f>
        <v/>
      </c>
      <c r="K52" s="59">
        <f>IFERROR(K49*K50*K51,"")</f>
        <v/>
      </c>
    </row>
    <row r="53">
      <c r="A53" s="44" t="inlineStr">
        <is>
          <t>★ 三因子恒等式校验（应为 0）</t>
        </is>
      </c>
      <c r="B53" s="70">
        <f>IFERROR(B52-B10,"")</f>
        <v/>
      </c>
      <c r="C53" s="70">
        <f>IFERROR(C52-C10,"")</f>
        <v/>
      </c>
      <c r="D53" s="70">
        <f>IFERROR(D52-D10,"")</f>
        <v/>
      </c>
      <c r="E53" s="70">
        <f>IFERROR(E52-E10,"")</f>
        <v/>
      </c>
      <c r="F53" s="70">
        <f>IFERROR(F52-F10,"")</f>
        <v/>
      </c>
      <c r="G53" s="70">
        <f>IFERROR(G52-G10,"")</f>
        <v/>
      </c>
      <c r="H53" s="70">
        <f>IFERROR(H52-H10,"")</f>
        <v/>
      </c>
      <c r="I53" s="70">
        <f>IFERROR(I52-I10,"")</f>
        <v/>
      </c>
      <c r="J53" s="70">
        <f>IFERROR(J52-J10,"")</f>
        <v/>
      </c>
      <c r="K53" s="70">
        <f>IFERROR(K52-K10,"")</f>
        <v/>
      </c>
    </row>
    <row r="55">
      <c r="A55" s="4" t="inlineStr">
        <is>
          <t>七、杜邦五因子 DuPont (5-step)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11" t="inlineStr">
        <is>
          <t>指标</t>
        </is>
      </c>
      <c r="B56" s="43" t="inlineStr">
        <is>
          <t>FY2021A</t>
        </is>
      </c>
      <c r="C56" s="43" t="inlineStr">
        <is>
          <t>FY2022A</t>
        </is>
      </c>
      <c r="D56" s="43" t="inlineStr">
        <is>
          <t>FY2023A</t>
        </is>
      </c>
      <c r="E56" s="43" t="inlineStr">
        <is>
          <t>FY2024A</t>
        </is>
      </c>
      <c r="F56" s="43" t="inlineStr">
        <is>
          <t>FY2025A</t>
        </is>
      </c>
      <c r="G56" s="10" t="inlineStr">
        <is>
          <t>FY2026E</t>
        </is>
      </c>
      <c r="H56" s="10" t="inlineStr">
        <is>
          <t>FY2027E</t>
        </is>
      </c>
      <c r="I56" s="10" t="inlineStr">
        <is>
          <t>FY2028E</t>
        </is>
      </c>
      <c r="J56" s="10" t="inlineStr">
        <is>
          <t>FY2029E</t>
        </is>
      </c>
      <c r="K56" s="10" t="inlineStr">
        <is>
          <t>FY2030E</t>
        </is>
      </c>
    </row>
    <row r="57">
      <c r="A57" s="12" t="inlineStr">
        <is>
          <t>① 税负比率 = 净利 / 税前利润</t>
        </is>
      </c>
      <c r="B57" s="48">
        <f>IFERROR('2_Income'!B20/'2_Income'!B18,"")</f>
        <v/>
      </c>
      <c r="C57" s="48">
        <f>IFERROR('2_Income'!C20/'2_Income'!C18,"")</f>
        <v/>
      </c>
      <c r="D57" s="48">
        <f>IFERROR('2_Income'!D20/'2_Income'!D18,"")</f>
        <v/>
      </c>
      <c r="E57" s="48">
        <f>IFERROR('2_Income'!E20/'2_Income'!E18,"")</f>
        <v/>
      </c>
      <c r="F57" s="48">
        <f>IFERROR('2_Income'!F20/'2_Income'!F18,"")</f>
        <v/>
      </c>
      <c r="G57" s="41">
        <f>IFERROR('2_Income'!G20/'2_Income'!G18,"")</f>
        <v/>
      </c>
      <c r="H57" s="41">
        <f>IFERROR('2_Income'!H20/'2_Income'!H18,"")</f>
        <v/>
      </c>
      <c r="I57" s="41">
        <f>IFERROR('2_Income'!I20/'2_Income'!I18,"")</f>
        <v/>
      </c>
      <c r="J57" s="41">
        <f>IFERROR('2_Income'!J20/'2_Income'!J18,"")</f>
        <v/>
      </c>
      <c r="K57" s="41">
        <f>IFERROR('2_Income'!K20/'2_Income'!K18,"")</f>
        <v/>
      </c>
    </row>
    <row r="58">
      <c r="A58" s="12" t="inlineStr">
        <is>
          <t>② 利息负担 = 税前利润 / EBIT</t>
        </is>
      </c>
      <c r="B58" s="48">
        <f>IFERROR('2_Income'!B18/'2_Income'!B14,"")</f>
        <v/>
      </c>
      <c r="C58" s="48">
        <f>IFERROR('2_Income'!C18/'2_Income'!C14,"")</f>
        <v/>
      </c>
      <c r="D58" s="48">
        <f>IFERROR('2_Income'!D18/'2_Income'!D14,"")</f>
        <v/>
      </c>
      <c r="E58" s="48">
        <f>IFERROR('2_Income'!E18/'2_Income'!E14,"")</f>
        <v/>
      </c>
      <c r="F58" s="48">
        <f>IFERROR('2_Income'!F18/'2_Income'!F14,"")</f>
        <v/>
      </c>
      <c r="G58" s="41">
        <f>IFERROR('2_Income'!G18/'2_Income'!G14,"")</f>
        <v/>
      </c>
      <c r="H58" s="41">
        <f>IFERROR('2_Income'!H18/'2_Income'!H14,"")</f>
        <v/>
      </c>
      <c r="I58" s="41">
        <f>IFERROR('2_Income'!I18/'2_Income'!I14,"")</f>
        <v/>
      </c>
      <c r="J58" s="41">
        <f>IFERROR('2_Income'!J18/'2_Income'!J14,"")</f>
        <v/>
      </c>
      <c r="K58" s="41">
        <f>IFERROR('2_Income'!K18/'2_Income'!K14,"")</f>
        <v/>
      </c>
    </row>
    <row r="59">
      <c r="A59" s="12" t="inlineStr">
        <is>
          <t>③ EBIT 利润率</t>
        </is>
      </c>
      <c r="B59" s="45">
        <f>IFERROR('2_Income'!B14/'2_Income'!B6,"")</f>
        <v/>
      </c>
      <c r="C59" s="45">
        <f>IFERROR('2_Income'!C14/'2_Income'!C6,"")</f>
        <v/>
      </c>
      <c r="D59" s="45">
        <f>IFERROR('2_Income'!D14/'2_Income'!D6,"")</f>
        <v/>
      </c>
      <c r="E59" s="45">
        <f>IFERROR('2_Income'!E14/'2_Income'!E6,"")</f>
        <v/>
      </c>
      <c r="F59" s="45">
        <f>IFERROR('2_Income'!F14/'2_Income'!F6,"")</f>
        <v/>
      </c>
      <c r="G59" s="14">
        <f>IFERROR('2_Income'!G14/'2_Income'!G6,"")</f>
        <v/>
      </c>
      <c r="H59" s="14">
        <f>IFERROR('2_Income'!H14/'2_Income'!H6,"")</f>
        <v/>
      </c>
      <c r="I59" s="14">
        <f>IFERROR('2_Income'!I14/'2_Income'!I6,"")</f>
        <v/>
      </c>
      <c r="J59" s="14">
        <f>IFERROR('2_Income'!J14/'2_Income'!J6,"")</f>
        <v/>
      </c>
      <c r="K59" s="14">
        <f>IFERROR('2_Income'!K14/'2_Income'!K6,"")</f>
        <v/>
      </c>
    </row>
    <row r="60">
      <c r="A60" s="12" t="inlineStr">
        <is>
          <t>④ 总资产周转率</t>
        </is>
      </c>
      <c r="B60" s="48">
        <f>IFERROR('2_Income'!B6/'3_Balance'!B16,"")</f>
        <v/>
      </c>
      <c r="C60" s="48">
        <f>IFERROR('2_Income'!C6/AVERAGE('3_Balance'!B16,'3_Balance'!C16),"")</f>
        <v/>
      </c>
      <c r="D60" s="48">
        <f>IFERROR('2_Income'!D6/AVERAGE('3_Balance'!C16,'3_Balance'!D16),"")</f>
        <v/>
      </c>
      <c r="E60" s="48">
        <f>IFERROR('2_Income'!E6/AVERAGE('3_Balance'!D16,'3_Balance'!E16),"")</f>
        <v/>
      </c>
      <c r="F60" s="48">
        <f>IFERROR('2_Income'!F6/AVERAGE('3_Balance'!E16,'3_Balance'!F16),"")</f>
        <v/>
      </c>
      <c r="G60" s="41">
        <f>IFERROR('2_Income'!G6/AVERAGE('3_Balance'!F16,'3_Balance'!G16),"")</f>
        <v/>
      </c>
      <c r="H60" s="41">
        <f>IFERROR('2_Income'!H6/AVERAGE('3_Balance'!G16,'3_Balance'!H16),"")</f>
        <v/>
      </c>
      <c r="I60" s="41">
        <f>IFERROR('2_Income'!I6/AVERAGE('3_Balance'!H16,'3_Balance'!I16),"")</f>
        <v/>
      </c>
      <c r="J60" s="41">
        <f>IFERROR('2_Income'!J6/AVERAGE('3_Balance'!I16,'3_Balance'!J16),"")</f>
        <v/>
      </c>
      <c r="K60" s="41">
        <f>IFERROR('2_Income'!K6/AVERAGE('3_Balance'!J16,'3_Balance'!K16),"")</f>
        <v/>
      </c>
    </row>
    <row r="61">
      <c r="A61" s="12" t="inlineStr">
        <is>
          <t>⑤ 权益乘数</t>
        </is>
      </c>
      <c r="B61" s="48">
        <f>IFERROR('3_Balance'!B16/'3_Balance'!B25,"")</f>
        <v/>
      </c>
      <c r="C61" s="48">
        <f>IFERROR(AVERAGE('3_Balance'!B16,'3_Balance'!C16)/AVERAGE('3_Balance'!B25,'3_Balance'!C25),"")</f>
        <v/>
      </c>
      <c r="D61" s="48">
        <f>IFERROR(AVERAGE('3_Balance'!C16,'3_Balance'!D16)/AVERAGE('3_Balance'!C25,'3_Balance'!D25),"")</f>
        <v/>
      </c>
      <c r="E61" s="48">
        <f>IFERROR(AVERAGE('3_Balance'!D16,'3_Balance'!E16)/AVERAGE('3_Balance'!D25,'3_Balance'!E25),"")</f>
        <v/>
      </c>
      <c r="F61" s="48">
        <f>IFERROR(AVERAGE('3_Balance'!E16,'3_Balance'!F16)/AVERAGE('3_Balance'!E25,'3_Balance'!F25),"")</f>
        <v/>
      </c>
      <c r="G61" s="41">
        <f>IFERROR(AVERAGE('3_Balance'!F16,'3_Balance'!G16)/AVERAGE('3_Balance'!F25,'3_Balance'!G25),"")</f>
        <v/>
      </c>
      <c r="H61" s="41">
        <f>IFERROR(AVERAGE('3_Balance'!G16,'3_Balance'!H16)/AVERAGE('3_Balance'!G25,'3_Balance'!H25),"")</f>
        <v/>
      </c>
      <c r="I61" s="41">
        <f>IFERROR(AVERAGE('3_Balance'!H16,'3_Balance'!I16)/AVERAGE('3_Balance'!H25,'3_Balance'!I25),"")</f>
        <v/>
      </c>
      <c r="J61" s="41">
        <f>IFERROR(AVERAGE('3_Balance'!I16,'3_Balance'!J16)/AVERAGE('3_Balance'!I25,'3_Balance'!J25),"")</f>
        <v/>
      </c>
      <c r="K61" s="41">
        <f>IFERROR(AVERAGE('3_Balance'!J16,'3_Balance'!K16)/AVERAGE('3_Balance'!J25,'3_Balance'!K25),"")</f>
        <v/>
      </c>
    </row>
    <row r="62">
      <c r="A62" s="12" t="inlineStr">
        <is>
          <t>⑥ 归母占比 = 归母净利 / 净利润</t>
        </is>
      </c>
      <c r="B62" s="48">
        <f>IFERROR('2_Income'!B22/'2_Income'!B20,"")</f>
        <v/>
      </c>
      <c r="C62" s="48">
        <f>IFERROR('2_Income'!C22/'2_Income'!C20,"")</f>
        <v/>
      </c>
      <c r="D62" s="48">
        <f>IFERROR('2_Income'!D22/'2_Income'!D20,"")</f>
        <v/>
      </c>
      <c r="E62" s="48">
        <f>IFERROR('2_Income'!E22/'2_Income'!E20,"")</f>
        <v/>
      </c>
      <c r="F62" s="48">
        <f>IFERROR('2_Income'!F22/'2_Income'!F20,"")</f>
        <v/>
      </c>
      <c r="G62" s="41">
        <f>IFERROR('2_Income'!G22/'2_Income'!G20,"")</f>
        <v/>
      </c>
      <c r="H62" s="41">
        <f>IFERROR('2_Income'!H22/'2_Income'!H20,"")</f>
        <v/>
      </c>
      <c r="I62" s="41">
        <f>IFERROR('2_Income'!I22/'2_Income'!I20,"")</f>
        <v/>
      </c>
      <c r="J62" s="41">
        <f>IFERROR('2_Income'!J22/'2_Income'!J20,"")</f>
        <v/>
      </c>
      <c r="K62" s="41">
        <f>IFERROR('2_Income'!K22/'2_Income'!K20,"")</f>
        <v/>
      </c>
    </row>
    <row r="63">
      <c r="A63" s="44" t="inlineStr">
        <is>
          <t>①×…×⑥ = ROE</t>
        </is>
      </c>
      <c r="B63" s="59">
        <f>IFERROR(B57*B58*B59*B60*B61*B62,"")</f>
        <v/>
      </c>
      <c r="C63" s="59">
        <f>IFERROR(C57*C58*C59*C60*C61*C62,"")</f>
        <v/>
      </c>
      <c r="D63" s="59">
        <f>IFERROR(D57*D58*D59*D60*D61*D62,"")</f>
        <v/>
      </c>
      <c r="E63" s="59">
        <f>IFERROR(E57*E58*E59*E60*E61*E62,"")</f>
        <v/>
      </c>
      <c r="F63" s="59">
        <f>IFERROR(F57*F58*F59*F60*F61*F62,"")</f>
        <v/>
      </c>
      <c r="G63" s="59">
        <f>IFERROR(G57*G58*G59*G60*G61*G62,"")</f>
        <v/>
      </c>
      <c r="H63" s="59">
        <f>IFERROR(H57*H58*H59*H60*H61*H62,"")</f>
        <v/>
      </c>
      <c r="I63" s="59">
        <f>IFERROR(I57*I58*I59*I60*I61*I62,"")</f>
        <v/>
      </c>
      <c r="J63" s="59">
        <f>IFERROR(J57*J58*J59*J60*J61*J62,"")</f>
        <v/>
      </c>
      <c r="K63" s="59">
        <f>IFERROR(K57*K58*K59*K60*K61*K62,"")</f>
        <v/>
      </c>
    </row>
    <row r="64">
      <c r="A64" s="44" t="inlineStr">
        <is>
          <t>★ 五因子恒等式校验（应为 0）</t>
        </is>
      </c>
      <c r="B64" s="70">
        <f>IFERROR(B63-B10,"")</f>
        <v/>
      </c>
      <c r="C64" s="70">
        <f>IFERROR(C63-C10,"")</f>
        <v/>
      </c>
      <c r="D64" s="70">
        <f>IFERROR(D63-D10,"")</f>
        <v/>
      </c>
      <c r="E64" s="70">
        <f>IFERROR(E63-E10,"")</f>
        <v/>
      </c>
      <c r="F64" s="70">
        <f>IFERROR(F63-F10,"")</f>
        <v/>
      </c>
      <c r="G64" s="70">
        <f>IFERROR(G63-G10,"")</f>
        <v/>
      </c>
      <c r="H64" s="70">
        <f>IFERROR(H63-H10,"")</f>
        <v/>
      </c>
      <c r="I64" s="70">
        <f>IFERROR(I63-I10,"")</f>
        <v/>
      </c>
      <c r="J64" s="70">
        <f>IFERROR(J63-J10,"")</f>
        <v/>
      </c>
      <c r="K64" s="70">
        <f>IFERROR(K63-K10,"")</f>
        <v/>
      </c>
    </row>
    <row r="67">
      <c r="A67" s="2" t="inlineStr">
        <is>
          <t>图表引用单元格区域，模型重算后自动更新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74" customWidth="1" min="7" max="7"/>
  </cols>
  <sheetData>
    <row r="1">
      <c r="A1" s="1" t="inlineStr">
        <is>
          <t>盈亏平衡敏感性 —— 我要错到什么程度，结论才会翻转？</t>
        </is>
      </c>
    </row>
    <row r="2">
      <c r="A2" s="2" t="inlineStr">
        <is>
          <t>FINC6021 Ch.3 讲义 p.22–25。课程问的是「令 NPV=0 的临界值」；股票估值的对应问题是「令每股内在价值 = 现价 的临界值」。</t>
        </is>
      </c>
    </row>
    <row r="3">
      <c r="A3" s="15" t="inlineStr">
        <is>
          <t>⚠ 本页为【静态值】，由 Python 二分求解写入。改「1_Assumptions」后需重跑 us_dcf.py 才会更新 —— 下方设有过期检测。</t>
        </is>
      </c>
    </row>
    <row r="5">
      <c r="A5" s="4" t="inlineStr">
        <is>
          <t>基准</t>
        </is>
      </c>
      <c r="B5" s="5" t="n"/>
      <c r="C5" s="5" t="n"/>
      <c r="D5" s="5" t="n"/>
      <c r="E5" s="5" t="n"/>
      <c r="F5" s="5" t="n"/>
      <c r="G5" s="5" t="n"/>
    </row>
    <row r="6">
      <c r="A6" s="24" t="inlineStr">
        <is>
          <t>生成时的每股内在价值</t>
        </is>
      </c>
      <c r="B6" s="71" t="n">
        <v>119.952141</v>
      </c>
    </row>
    <row r="7">
      <c r="A7" s="24" t="inlineStr">
        <is>
          <t>当前每股内在价值（活链接）</t>
        </is>
      </c>
      <c r="B7" s="72">
        <f>'5_DCF'!B69</f>
        <v/>
      </c>
    </row>
    <row r="8">
      <c r="A8" s="24" t="inlineStr">
        <is>
          <t>现价（目标值）</t>
        </is>
      </c>
      <c r="B8" s="71" t="n">
        <v>326.570007</v>
      </c>
    </row>
    <row r="9">
      <c r="A9" s="6" t="inlineStr">
        <is>
          <t>★ 过期检测</t>
        </is>
      </c>
      <c r="B9" s="73">
        <f>IF(ABS(B7-B6)&lt;0.005,"✓ 与生成时一致","⚠ 假设已变更，本页数字已过期，请重跑")</f>
        <v/>
      </c>
    </row>
    <row r="11">
      <c r="A11" s="4" t="inlineStr">
        <is>
          <t>各驱动因子的临界值（按脆弱度排序：偏离越小越关键）</t>
        </is>
      </c>
      <c r="B11" s="5" t="n"/>
      <c r="C11" s="5" t="n"/>
      <c r="D11" s="5" t="n"/>
      <c r="E11" s="5" t="n"/>
      <c r="F11" s="5" t="n"/>
      <c r="G11" s="5" t="n"/>
    </row>
    <row r="12">
      <c r="A12" s="10" t="inlineStr">
        <is>
          <t>驱动因子</t>
        </is>
      </c>
      <c r="B12" s="10" t="inlineStr">
        <is>
          <t>期望值</t>
        </is>
      </c>
      <c r="C12" s="10" t="inlineStr">
        <is>
          <t>临界值</t>
        </is>
      </c>
      <c r="D12" s="10" t="inlineStr">
        <is>
          <t>绝对变动</t>
        </is>
      </c>
      <c r="E12" s="10" t="inlineStr">
        <is>
          <t>偏离 %</t>
        </is>
      </c>
      <c r="F12" s="10" t="inlineStr">
        <is>
          <t>方向</t>
        </is>
      </c>
      <c r="G12" s="10" t="inlineStr">
        <is>
          <t>说明</t>
        </is>
      </c>
    </row>
    <row r="13">
      <c r="A13" s="12" t="inlineStr">
        <is>
          <t>Beta（→ Ke → WACC）</t>
        </is>
      </c>
      <c r="B13" s="74" t="n">
        <v>1.1247</v>
      </c>
      <c r="C13" s="74" t="n">
        <v>0.054138</v>
      </c>
      <c r="D13" s="74" t="n">
        <v>-1.070562</v>
      </c>
      <c r="E13" s="75" t="n">
        <v>-0.951864</v>
      </c>
      <c r="F13" s="76" t="inlineStr">
        <is>
          <t>需下降</t>
        </is>
      </c>
    </row>
    <row r="14">
      <c r="A14" s="12" t="inlineStr">
        <is>
          <t>股权风险溢价 ERP</t>
        </is>
      </c>
      <c r="B14" s="77" t="n">
        <v>0.046127</v>
      </c>
      <c r="C14" s="77" t="n">
        <v>0.00222</v>
      </c>
      <c r="D14" s="77" t="n">
        <v>-0.043907</v>
      </c>
      <c r="E14" s="75" t="n">
        <v>-0.951864</v>
      </c>
      <c r="F14" s="76" t="inlineStr">
        <is>
          <t>需下降</t>
        </is>
      </c>
    </row>
    <row r="15">
      <c r="A15" s="12" t="inlineStr">
        <is>
          <t>永续增长率 g</t>
        </is>
      </c>
      <c r="B15" s="77" t="n">
        <v>0.025</v>
      </c>
      <c r="C15" s="77" t="n">
        <v>0.07803</v>
      </c>
      <c r="D15" s="77" t="n">
        <v>0.05303</v>
      </c>
      <c r="E15" s="75" t="n">
        <v>2.121217</v>
      </c>
      <c r="F15" s="76" t="inlineStr">
        <is>
          <t>需上升</t>
        </is>
      </c>
    </row>
    <row r="16">
      <c r="A16" s="12" t="inlineStr">
        <is>
          <t>营收增速（全期均值）</t>
        </is>
      </c>
      <c r="B16" s="77" t="n">
        <v>0.04462</v>
      </c>
      <c r="C16" s="77" t="n">
        <v>0.36444</v>
      </c>
      <c r="D16" s="77" t="n">
        <v>0.31982</v>
      </c>
      <c r="E16" s="75" t="n">
        <v>7.167642</v>
      </c>
      <c r="F16" s="76" t="inlineStr">
        <is>
          <t>需上升</t>
        </is>
      </c>
    </row>
    <row r="17">
      <c r="A17" s="12" t="inlineStr">
        <is>
          <t>毛利率（全期均值）</t>
        </is>
      </c>
      <c r="B17" s="77" t="n">
        <v>0.4575</v>
      </c>
      <c r="C17" t="inlineStr">
        <is>
          <t>—</t>
        </is>
      </c>
      <c r="G17" s="17" t="inlineStr">
        <is>
          <t>区间 [0.01, 0.95] 内最高只能到 $302，够不着现价 $327 —— 单独调这一个变量翻转不了结论</t>
        </is>
      </c>
    </row>
    <row r="18">
      <c r="A18" s="12" t="inlineStr">
        <is>
          <t>资本开支 / 营收（全期均值）</t>
        </is>
      </c>
      <c r="B18" s="77" t="n">
        <v>0.0278</v>
      </c>
      <c r="C18" t="inlineStr">
        <is>
          <t>—</t>
        </is>
      </c>
      <c r="G18" s="17" t="inlineStr">
        <is>
          <t>区间 [0, 0.9] 内最高只能到 $123，够不着现价 $327 —— 单独调这一个变量翻转不了结论</t>
        </is>
      </c>
    </row>
    <row r="19">
      <c r="A19" s="12" t="inlineStr">
        <is>
          <t>研发费用 / 营收</t>
        </is>
      </c>
      <c r="B19" s="77" t="n">
        <v>0.08043</v>
      </c>
      <c r="C19" t="inlineStr">
        <is>
          <t>—</t>
        </is>
      </c>
      <c r="G19" s="17" t="inlineStr">
        <is>
          <t>区间 [0, 0.9] 内最高只能到 $153，够不着现价 $327 —— 单独调这一个变量翻转不了结论</t>
        </is>
      </c>
    </row>
    <row r="20">
      <c r="A20" s="12" t="inlineStr">
        <is>
          <t>销售及管理费用 / 营收</t>
        </is>
      </c>
      <c r="B20" s="77" t="n">
        <v>0.06604</v>
      </c>
      <c r="C20" t="inlineStr">
        <is>
          <t>—</t>
        </is>
      </c>
      <c r="G20" s="17" t="inlineStr">
        <is>
          <t>区间 [0, 0.9] 内最高只能到 $145，够不着现价 $327 —— 单独调这一个变量翻转不了结论</t>
        </is>
      </c>
    </row>
    <row r="21">
      <c r="A21" s="12" t="inlineStr">
        <is>
          <t>有效所得税率</t>
        </is>
      </c>
      <c r="B21" s="77" t="n">
        <v>0.1814</v>
      </c>
      <c r="C21" t="inlineStr">
        <is>
          <t>—</t>
        </is>
      </c>
      <c r="G21" s="17" t="inlineStr">
        <is>
          <t>区间 [0, 0.95] 内最高只能到 $127，够不着现价 $327 —— 单独调这一个变量翻转不了结论</t>
        </is>
      </c>
    </row>
    <row r="22">
      <c r="A22" s="12" t="inlineStr">
        <is>
          <t>折旧率（占期初 PP&amp;E）</t>
        </is>
      </c>
      <c r="B22" s="77" t="n">
        <v>0.1882</v>
      </c>
      <c r="C22" t="inlineStr">
        <is>
          <t>—</t>
        </is>
      </c>
      <c r="G22" s="17" t="inlineStr">
        <is>
          <t>区间 [0, 3] 内最高只能到 $163，够不着现价 $327 —— 单独调这一个变量翻转不了结论</t>
        </is>
      </c>
    </row>
    <row r="23">
      <c r="A23" s="12" t="inlineStr">
        <is>
          <t>应收周转天数 DSO</t>
        </is>
      </c>
      <c r="B23" s="78" t="n">
        <v>31.4</v>
      </c>
      <c r="C23" t="inlineStr">
        <is>
          <t>—</t>
        </is>
      </c>
      <c r="G23" s="17" t="inlineStr">
        <is>
          <t>区间 [0, 3000] 内最高只能到 $121，够不着现价 $327 —— 单独调这一个变量翻转不了结论</t>
        </is>
      </c>
    </row>
    <row r="24">
      <c r="A24" s="12" t="inlineStr">
        <is>
          <t>应付周转天数 DPO</t>
        </is>
      </c>
      <c r="B24" s="78" t="n">
        <v>113.9</v>
      </c>
      <c r="C24" t="inlineStr">
        <is>
          <t>—</t>
        </is>
      </c>
      <c r="G24" s="17" t="inlineStr">
        <is>
          <t>区间 [0, 3000] 内最高只能到 $133，够不着现价 $327 —— 单独调这一个变量翻转不了结论</t>
        </is>
      </c>
    </row>
    <row r="25">
      <c r="A25" s="12" t="inlineStr">
        <is>
          <t>终值所得税率 t_term</t>
        </is>
      </c>
      <c r="B25" s="77" t="n">
        <v>0.25</v>
      </c>
      <c r="C25" t="inlineStr">
        <is>
          <t>—</t>
        </is>
      </c>
      <c r="G25" s="17" t="inlineStr">
        <is>
          <t>区间 [0, 0.95] 内最高只能到 $149，够不着现价 $327 —— 单独调这一个变量翻转不了结论</t>
        </is>
      </c>
    </row>
    <row r="27">
      <c r="A27" s="4" t="inlineStr">
        <is>
          <t>怎么读这张表</t>
        </is>
      </c>
      <c r="B27" s="5" t="n"/>
      <c r="C27" s="5" t="n"/>
      <c r="D27" s="5" t="n"/>
      <c r="E27" s="5" t="n"/>
      <c r="F27" s="5" t="n"/>
      <c r="G27" s="5" t="n"/>
    </row>
    <row r="28">
      <c r="A28" s="79" t="inlineStr">
        <is>
          <t>· 「偏离 %」= (临界值 − 期望值) / |期望值|，即该变量要变动多少才能让内在价值等于现价。</t>
        </is>
      </c>
    </row>
    <row r="29">
      <c r="A29" s="79" t="inlineStr">
        <is>
          <t>· 排在最上面的最关键 —— 不是因为它波动大，而是因为【结论对它最脆弱】。</t>
        </is>
      </c>
    </row>
    <row r="30">
      <c r="A30" s="79" t="inlineStr">
        <is>
          <t>· 这与龙卷风图问的不是同一个问题：龙卷风量的是离散度（能摆多少），本页量的是脆弱度（要错多少才翻转）。</t>
        </is>
      </c>
    </row>
    <row r="31">
      <c r="A31" s="79" t="inlineStr">
        <is>
          <t xml:space="preserve">   一个变量可以龙卷风条很长但临界值很远（结论稳健），也可以条很短但临界值近在咫尺（结论脆弱）。</t>
        </is>
      </c>
    </row>
    <row r="32">
      <c r="A32" s="79" t="inlineStr">
        <is>
          <t>· 讲义明确的两条局限：① 一次只动一个变量，而驱动因子之间往往相关（降资本开支会拖累增长、提价会压销量）；② 不知道超出临界值的【概率】。</t>
        </is>
      </c>
    </row>
    <row r="33">
      <c r="A33" s="79" t="inlineStr">
        <is>
          <t>· 显示「不变号」的变量，意味着单独调它无论调到区间的哪一端都无法把估值推到现价 —— 结论对它不敏感，或者需要多个变量同时变化。</t>
        </is>
      </c>
    </row>
    <row r="34">
      <c r="A34" s="79" t="inlineStr">
        <is>
          <t>· 讲义推荐用 Excel 的 Goal Seek 做同一件事；本页用 Python 二分一次算完，结果可复现。</t>
        </is>
      </c>
    </row>
  </sheetData>
  <mergeCells count="8">
    <mergeCell ref="A32:G32"/>
    <mergeCell ref="A31:G31"/>
    <mergeCell ref="A34:G34"/>
    <mergeCell ref="B9:D9"/>
    <mergeCell ref="A30:G30"/>
    <mergeCell ref="A29:G29"/>
    <mergeCell ref="A33:G3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2026-09-11T02:37:08Z</dcterms:created>
  <dcterms:modified xmlns:dcterms="http://purl.org/dc/terms/" xmlns:xsi="http://www.w3.org/2001/XMLSchema-instance" xsi:type="dcterms:W3CDTF">2026-09-11T02:37:59Z</dcterms:modified>
</cp:coreProperties>
</file>